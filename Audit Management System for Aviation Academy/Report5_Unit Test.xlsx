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\Downloads\"/>
    </mc:Choice>
  </mc:AlternateContent>
  <xr:revisionPtr revIDLastSave="0" documentId="13_ncr:1_{1E14F85C-AE5D-4ABC-90A0-68345F184B2B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Function 1" sheetId="5" r:id="rId1"/>
    <sheet name="Function 2" sheetId="6" r:id="rId2"/>
    <sheet name="Function3" sheetId="7" r:id="rId3"/>
    <sheet name="Example" sheetId="8" r:id="rId4"/>
  </sheets>
  <definedNames>
    <definedName name="ACTION">#REF!</definedName>
    <definedName name="Z_2C0D9096_8D85_462A_A9B5_0B488ADB4269_.wvu.Cols" localSheetId="0">'Function 1'!$E:$E</definedName>
    <definedName name="Z_2C0D9096_8D85_462A_A9B5_0B488ADB4269_.wvu.Cols" localSheetId="1">'Function 2'!$E:$E</definedName>
    <definedName name="Z_2C0D9096_8D85_462A_A9B5_0B488ADB4269_.wvu.Cols" localSheetId="2">Function3!$E:$E</definedName>
    <definedName name="Z_6F1DCD5D_5DAC_4817_BF40_2B66F6F593E6_.wvu.Cols" localSheetId="0">'Function 1'!$E:$E</definedName>
    <definedName name="Z_6F1DCD5D_5DAC_4817_BF40_2B66F6F593E6_.wvu.Cols" localSheetId="1">'Function 2'!$E:$E</definedName>
    <definedName name="Z_6F1DCD5D_5DAC_4817_BF40_2B66F6F593E6_.wvu.Cols" localSheetId="2">Function3!$E:$E</definedName>
    <definedName name="Z_BE54E0AD_3725_4423_92D7_4F1C045BE1BC_.wvu.Cols" localSheetId="0">'Function 1'!$E:$E</definedName>
    <definedName name="Z_BE54E0AD_3725_4423_92D7_4F1C045BE1BC_.wvu.Cols" localSheetId="1">'Function 2'!$E:$E</definedName>
    <definedName name="Z_BE54E0AD_3725_4423_92D7_4F1C045BE1BC_.wvu.Cols" localSheetId="2">Function3!$E:$E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8" l="1"/>
  <c r="N7" i="8"/>
  <c r="M7" i="8"/>
  <c r="L7" i="8"/>
  <c r="C7" i="8"/>
  <c r="A7" i="8"/>
  <c r="F7" i="8" s="1"/>
  <c r="L4" i="8"/>
  <c r="L2" i="8"/>
  <c r="C2" i="8"/>
  <c r="O7" i="7"/>
  <c r="N7" i="7"/>
  <c r="M7" i="7"/>
  <c r="L7" i="7"/>
  <c r="F7" i="7"/>
  <c r="C7" i="7"/>
  <c r="A7" i="7"/>
  <c r="L4" i="7"/>
  <c r="L2" i="7"/>
  <c r="C2" i="7"/>
  <c r="O7" i="6"/>
  <c r="N7" i="6"/>
  <c r="M7" i="6"/>
  <c r="L7" i="6"/>
  <c r="F7" i="6"/>
  <c r="C7" i="6"/>
  <c r="A7" i="6"/>
  <c r="L4" i="6"/>
  <c r="L2" i="6"/>
  <c r="C2" i="6"/>
  <c r="O7" i="5"/>
  <c r="N7" i="5"/>
  <c r="M7" i="5"/>
  <c r="L7" i="5"/>
  <c r="C7" i="5"/>
  <c r="A7" i="5"/>
  <c r="F7" i="5" s="1"/>
  <c r="L4" i="5"/>
  <c r="L2" i="5"/>
  <c r="C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0400-000001000000}">
      <text>
        <r>
          <rPr>
            <sz val="11"/>
            <color rgb="FF000000"/>
            <rFont val="MS PGothic"/>
            <scheme val="minor"/>
          </rPr>
          <t xml:space="preserve">Not mandatory
</t>
        </r>
      </text>
    </comment>
    <comment ref="C10" authorId="0" shapeId="0" xr:uid="{00000000-0006-0000-0400-000002000000}">
      <text>
        <r>
          <rPr>
            <sz val="11"/>
            <color rgb="FF000000"/>
            <rFont val="MS PGothic"/>
            <scheme val="minor"/>
          </rPr>
          <t>Not mandatory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0500-000001000000}">
      <text>
        <r>
          <rPr>
            <sz val="11"/>
            <color rgb="FF000000"/>
            <rFont val="MS PGothic"/>
            <scheme val="minor"/>
          </rPr>
          <t xml:space="preserve">
Not mandatory
</t>
        </r>
      </text>
    </comment>
    <comment ref="C10" authorId="0" shapeId="0" xr:uid="{00000000-0006-0000-0500-000002000000}">
      <text>
        <r>
          <rPr>
            <sz val="11"/>
            <color rgb="FF000000"/>
            <rFont val="MS PGothic"/>
            <scheme val="minor"/>
          </rPr>
          <t xml:space="preserve">
Not mandatory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0600-000001000000}">
      <text>
        <r>
          <rPr>
            <sz val="11"/>
            <color rgb="FF000000"/>
            <rFont val="MS PGothic"/>
            <scheme val="minor"/>
          </rPr>
          <t xml:space="preserve">
Not mandatory
</t>
        </r>
      </text>
    </comment>
    <comment ref="C10" authorId="0" shapeId="0" xr:uid="{00000000-0006-0000-0600-000002000000}">
      <text>
        <r>
          <rPr>
            <sz val="11"/>
            <color rgb="FF000000"/>
            <rFont val="MS PGothic"/>
            <scheme val="minor"/>
          </rPr>
          <t>Not mandatory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0700-000001000000}">
      <text>
        <r>
          <rPr>
            <sz val="11"/>
            <color rgb="FF000000"/>
            <rFont val="MS PGothic"/>
            <scheme val="minor"/>
          </rPr>
          <t xml:space="preserve">Not mandatory
</t>
        </r>
      </text>
    </comment>
    <comment ref="C10" authorId="0" shapeId="0" xr:uid="{00000000-0006-0000-0700-000002000000}">
      <text>
        <r>
          <rPr>
            <sz val="11"/>
            <color rgb="FF000000"/>
            <rFont val="MS PGothic"/>
            <scheme val="minor"/>
          </rPr>
          <t xml:space="preserve">
Not mandatory</t>
        </r>
      </text>
    </comment>
  </commentList>
</comments>
</file>

<file path=xl/sharedStrings.xml><?xml version="1.0" encoding="utf-8"?>
<sst xmlns="http://schemas.openxmlformats.org/spreadsheetml/2006/main" count="372" uniqueCount="95">
  <si>
    <t>A</t>
  </si>
  <si>
    <t>Function Name</t>
  </si>
  <si>
    <t>Passed</t>
  </si>
  <si>
    <t>Failed</t>
  </si>
  <si>
    <t>Untested</t>
  </si>
  <si>
    <t>N</t>
  </si>
  <si>
    <t>B</t>
  </si>
  <si>
    <t>Total Test Cases</t>
  </si>
  <si>
    <t>Function Code</t>
  </si>
  <si>
    <t>Created By</t>
  </si>
  <si>
    <t>&lt;Developer Name&gt;</t>
  </si>
  <si>
    <t>Executed By</t>
  </si>
  <si>
    <t>Lines  of code</t>
  </si>
  <si>
    <t>Lack of test cases</t>
  </si>
  <si>
    <t>Test requirement</t>
  </si>
  <si>
    <t>&lt;Brief description about requirements which are tested in this function&gt;</t>
  </si>
  <si>
    <t>N/A/B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</si>
  <si>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</si>
  <si>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</si>
  <si>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</si>
  <si>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</si>
  <si>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</si>
  <si>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</si>
  <si>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</si>
  <si>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</si>
  <si>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</si>
  <si>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</si>
  <si>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</si>
  <si>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</si>
  <si>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</si>
  <si>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</si>
  <si>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</si>
  <si>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Condition</t>
  </si>
  <si>
    <t>Password</t>
  </si>
  <si>
    <t>invalid ""</t>
  </si>
  <si>
    <t>O</t>
  </si>
  <si>
    <t>invalid "Ma"</t>
  </si>
  <si>
    <t>invalid password length = 10</t>
  </si>
  <si>
    <t>valid "123456789Aa$"</t>
  </si>
  <si>
    <t>Email Condition</t>
  </si>
  <si>
    <t>valid email(ex"user@gmail.com)</t>
  </si>
  <si>
    <t>email too long</t>
  </si>
  <si>
    <t>email not valid</t>
  </si>
  <si>
    <t>Confirm</t>
  </si>
  <si>
    <t>Return</t>
  </si>
  <si>
    <t>T</t>
  </si>
  <si>
    <t>F</t>
  </si>
  <si>
    <t>Exception</t>
  </si>
  <si>
    <t>Log message</t>
  </si>
  <si>
    <t>"success"</t>
  </si>
  <si>
    <t>"fall login"</t>
  </si>
  <si>
    <t>Result</t>
  </si>
  <si>
    <t>Type(N : Normal, A : Abnormal, B : Boundary)</t>
  </si>
  <si>
    <t>Passed/Failed</t>
  </si>
  <si>
    <t>P</t>
  </si>
  <si>
    <t>Executed Date</t>
  </si>
  <si>
    <t>Defect ID</t>
  </si>
  <si>
    <t>DFID001</t>
  </si>
  <si>
    <t>DFID002</t>
  </si>
  <si>
    <t>DFID003</t>
  </si>
  <si>
    <t>DFID004</t>
  </si>
  <si>
    <t>DFID005</t>
  </si>
  <si>
    <t>DFID006</t>
  </si>
  <si>
    <t>DFID007</t>
  </si>
  <si>
    <t xml:space="preserve">Precondition </t>
  </si>
  <si>
    <t>Can connect with server</t>
  </si>
  <si>
    <t>Title</t>
  </si>
  <si>
    <t>"1"</t>
  </si>
  <si>
    <t>""</t>
  </si>
  <si>
    <t>null</t>
  </si>
  <si>
    <t>Type</t>
  </si>
  <si>
    <t>&gt;=5 &amp; &lt;= 10</t>
  </si>
  <si>
    <t>Scope</t>
  </si>
  <si>
    <t>TemplateId</t>
  </si>
  <si>
    <t>StartDate</t>
  </si>
  <si>
    <t>EndDate</t>
  </si>
  <si>
    <t>Status</t>
  </si>
  <si>
    <t>Objective</t>
  </si>
  <si>
    <t>"input1 is null"</t>
  </si>
  <si>
    <t>DFID008</t>
  </si>
  <si>
    <t>DFID009</t>
  </si>
  <si>
    <t>DFID010</t>
  </si>
  <si>
    <t>DFID011</t>
  </si>
  <si>
    <t>DFID012</t>
  </si>
  <si>
    <t>Input1</t>
  </si>
  <si>
    <t>Input2</t>
  </si>
  <si>
    <t>a</t>
  </si>
  <si>
    <t>b</t>
  </si>
  <si>
    <t>c</t>
  </si>
  <si>
    <t xml:space="preserve">list </t>
  </si>
  <si>
    <t>size = 0</t>
  </si>
  <si>
    <t>{-1/2}</t>
  </si>
  <si>
    <t>{1,1}</t>
  </si>
  <si>
    <t>{1,-3}</t>
  </si>
  <si>
    <t>"please input a&gt;= -1"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</si>
</sst>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"/>
  </numFmts>
  <fonts count="13" x14ac:knownFonts="1">
    <font>
      <sz val="11"/>
      <color rgb="FF000000"/>
      <name val="MS PGothic"/>
      <scheme val="minor"/>
    </font>
    <font>
      <b/>
      <sz val="12"/>
      <color theme="1"/>
      <name val="Tahoma"/>
    </font>
    <font>
      <sz val="11"/>
      <name val="MS PGothic"/>
    </font>
    <font>
      <sz val="8"/>
      <color theme="1"/>
      <name val="Tahoma"/>
    </font>
    <font>
      <b/>
      <sz val="8"/>
      <color theme="1"/>
      <name val="Tahoma"/>
    </font>
    <font>
      <i/>
      <sz val="8"/>
      <color theme="1"/>
      <name val="Tahoma"/>
    </font>
    <font>
      <sz val="11"/>
      <color theme="1"/>
      <name val="MS PGothic"/>
    </font>
    <font>
      <b/>
      <sz val="8"/>
      <color rgb="FFFFFFFF"/>
      <name val="Tahoma"/>
    </font>
    <font>
      <sz val="8"/>
      <color rgb="FFFFFFFF"/>
      <name val="Tahoma"/>
    </font>
    <font>
      <b/>
      <sz val="12"/>
      <color theme="1"/>
      <name val="Courier New"/>
    </font>
    <font>
      <b/>
      <sz val="8"/>
      <color theme="1"/>
      <name val="Courier New"/>
    </font>
    <font>
      <sz val="8"/>
      <color theme="1"/>
      <name val="Courier New"/>
    </font>
    <font>
      <sz val="8"/>
      <color rgb="FF008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FF9900"/>
        <bgColor rgb="FFFF9900"/>
      </patternFill>
    </fill>
  </fills>
  <borders count="7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  <diagonal/>
    </border>
    <border>
      <left/>
      <right/>
      <top style="double">
        <color rgb="FF000000"/>
      </top>
      <bottom style="medium">
        <color rgb="FFFFFFFF"/>
      </bottom>
      <diagonal/>
    </border>
    <border>
      <left/>
      <right style="double">
        <color rgb="FF000000"/>
      </right>
      <top style="double">
        <color rgb="FF000000"/>
      </top>
      <bottom style="medium">
        <color rgb="FFFFFFFF"/>
      </bottom>
      <diagonal/>
    </border>
    <border>
      <left style="double">
        <color rgb="FF000000"/>
      </left>
      <right style="thin">
        <color rgb="FF000000"/>
      </right>
      <top style="medium">
        <color rgb="FFFFFFFF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</borders>
  <cellStyleXfs count="1">
    <xf numFmtId="0" fontId="0" fillId="0" borderId="0"/>
  </cellStyleXfs>
  <cellXfs count="179">
    <xf numFmtId="0" fontId="0" fillId="0" borderId="0" xfId="0" applyAlignment="1">
      <alignment vertical="center"/>
    </xf>
    <xf numFmtId="0" fontId="3" fillId="0" borderId="10" xfId="0" applyFont="1" applyBorder="1"/>
    <xf numFmtId="0" fontId="4" fillId="0" borderId="10" xfId="0" applyFont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49" fontId="3" fillId="0" borderId="0" xfId="0" applyNumberFormat="1" applyFont="1"/>
    <xf numFmtId="0" fontId="5" fillId="2" borderId="26" xfId="0" applyFont="1" applyFill="1" applyBorder="1" applyAlignment="1">
      <alignment wrapText="1"/>
    </xf>
    <xf numFmtId="0" fontId="5" fillId="2" borderId="27" xfId="0" applyFont="1" applyFill="1" applyBorder="1" applyAlignment="1">
      <alignment wrapText="1"/>
    </xf>
    <xf numFmtId="0" fontId="5" fillId="2" borderId="8" xfId="0" applyFont="1" applyFill="1" applyBorder="1" applyAlignment="1">
      <alignment horizontal="left" wrapText="1"/>
    </xf>
    <xf numFmtId="0" fontId="3" fillId="2" borderId="34" xfId="0" applyFont="1" applyFill="1" applyBorder="1" applyAlignment="1">
      <alignment horizontal="center" vertical="center"/>
    </xf>
    <xf numFmtId="0" fontId="3" fillId="0" borderId="36" xfId="0" applyFont="1" applyBorder="1"/>
    <xf numFmtId="0" fontId="4" fillId="0" borderId="0" xfId="0" applyFont="1" applyAlignment="1">
      <alignment horizontal="left"/>
    </xf>
    <xf numFmtId="15" fontId="6" fillId="3" borderId="37" xfId="0" applyNumberFormat="1" applyFont="1" applyFill="1" applyBorder="1" applyAlignment="1">
      <alignment vertical="center"/>
    </xf>
    <xf numFmtId="0" fontId="6" fillId="3" borderId="38" xfId="0" applyFont="1" applyFill="1" applyBorder="1"/>
    <xf numFmtId="0" fontId="7" fillId="3" borderId="38" xfId="0" applyFont="1" applyFill="1" applyBorder="1" applyAlignment="1">
      <alignment horizontal="right" vertical="top" textRotation="180"/>
    </xf>
    <xf numFmtId="0" fontId="7" fillId="3" borderId="39" xfId="0" applyFont="1" applyFill="1" applyBorder="1" applyAlignment="1">
      <alignment horizontal="right" vertical="top" textRotation="180"/>
    </xf>
    <xf numFmtId="0" fontId="6" fillId="0" borderId="0" xfId="0" applyFont="1"/>
    <xf numFmtId="0" fontId="7" fillId="3" borderId="40" xfId="0" applyFont="1" applyFill="1" applyBorder="1" applyAlignment="1">
      <alignment vertical="center"/>
    </xf>
    <xf numFmtId="0" fontId="4" fillId="2" borderId="41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0" fontId="6" fillId="4" borderId="1" xfId="0" applyFont="1" applyFill="1" applyBorder="1"/>
    <xf numFmtId="0" fontId="6" fillId="0" borderId="43" xfId="0" applyFont="1" applyBorder="1"/>
    <xf numFmtId="0" fontId="6" fillId="0" borderId="44" xfId="0" applyFont="1" applyBorder="1"/>
    <xf numFmtId="0" fontId="6" fillId="3" borderId="45" xfId="0" applyFont="1" applyFill="1" applyBorder="1" applyAlignment="1">
      <alignment vertical="center"/>
    </xf>
    <xf numFmtId="0" fontId="6" fillId="2" borderId="7" xfId="0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3" fillId="2" borderId="9" xfId="0" applyFont="1" applyFill="1" applyBorder="1" applyAlignment="1">
      <alignment horizontal="right" vertical="top"/>
    </xf>
    <xf numFmtId="0" fontId="1" fillId="0" borderId="5" xfId="0" applyFont="1" applyBorder="1" applyAlignment="1">
      <alignment horizontal="center"/>
    </xf>
    <xf numFmtId="0" fontId="6" fillId="0" borderId="5" xfId="0" applyFont="1" applyBorder="1"/>
    <xf numFmtId="0" fontId="6" fillId="0" borderId="46" xfId="0" applyFont="1" applyBorder="1"/>
    <xf numFmtId="0" fontId="6" fillId="0" borderId="0" xfId="0" applyFont="1" applyAlignment="1">
      <alignment vertical="top"/>
    </xf>
    <xf numFmtId="0" fontId="4" fillId="2" borderId="7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47" xfId="0" applyFont="1" applyFill="1" applyBorder="1" applyAlignment="1">
      <alignment vertical="top"/>
    </xf>
    <xf numFmtId="0" fontId="6" fillId="2" borderId="48" xfId="0" applyFont="1" applyFill="1" applyBorder="1" applyAlignment="1">
      <alignment vertical="top"/>
    </xf>
    <xf numFmtId="0" fontId="6" fillId="2" borderId="49" xfId="0" applyFont="1" applyFill="1" applyBorder="1" applyAlignment="1">
      <alignment vertical="top"/>
    </xf>
    <xf numFmtId="0" fontId="6" fillId="4" borderId="50" xfId="0" applyFont="1" applyFill="1" applyBorder="1"/>
    <xf numFmtId="0" fontId="6" fillId="0" borderId="51" xfId="0" applyFont="1" applyBorder="1"/>
    <xf numFmtId="0" fontId="6" fillId="0" borderId="52" xfId="0" applyFont="1" applyBorder="1"/>
    <xf numFmtId="0" fontId="7" fillId="3" borderId="40" xfId="0" applyFont="1" applyFill="1" applyBorder="1" applyAlignment="1">
      <alignment vertical="top"/>
    </xf>
    <xf numFmtId="0" fontId="4" fillId="2" borderId="41" xfId="0" applyFont="1" applyFill="1" applyBorder="1"/>
    <xf numFmtId="0" fontId="6" fillId="2" borderId="26" xfId="0" applyFont="1" applyFill="1" applyBorder="1"/>
    <xf numFmtId="0" fontId="6" fillId="2" borderId="42" xfId="0" applyFont="1" applyFill="1" applyBorder="1"/>
    <xf numFmtId="0" fontId="6" fillId="4" borderId="53" xfId="0" applyFont="1" applyFill="1" applyBorder="1"/>
    <xf numFmtId="0" fontId="6" fillId="3" borderId="45" xfId="0" applyFont="1" applyFill="1" applyBorder="1" applyAlignment="1">
      <alignment vertical="top"/>
    </xf>
    <xf numFmtId="0" fontId="6" fillId="2" borderId="7" xfId="0" applyFont="1" applyFill="1" applyBorder="1"/>
    <xf numFmtId="0" fontId="6" fillId="2" borderId="8" xfId="0" applyFont="1" applyFill="1" applyBorder="1"/>
    <xf numFmtId="0" fontId="3" fillId="2" borderId="9" xfId="0" applyFont="1" applyFill="1" applyBorder="1" applyAlignment="1">
      <alignment horizontal="right"/>
    </xf>
    <xf numFmtId="0" fontId="6" fillId="4" borderId="5" xfId="0" applyFont="1" applyFill="1" applyBorder="1"/>
    <xf numFmtId="0" fontId="4" fillId="2" borderId="7" xfId="0" applyFont="1" applyFill="1" applyBorder="1"/>
    <xf numFmtId="0" fontId="6" fillId="2" borderId="9" xfId="0" applyFont="1" applyFill="1" applyBorder="1"/>
    <xf numFmtId="0" fontId="6" fillId="2" borderId="54" xfId="0" applyFont="1" applyFill="1" applyBorder="1"/>
    <xf numFmtId="0" fontId="6" fillId="2" borderId="55" xfId="0" applyFont="1" applyFill="1" applyBorder="1"/>
    <xf numFmtId="0" fontId="3" fillId="2" borderId="56" xfId="0" applyFont="1" applyFill="1" applyBorder="1" applyAlignment="1">
      <alignment horizontal="right"/>
    </xf>
    <xf numFmtId="0" fontId="6" fillId="4" borderId="57" xfId="0" applyFont="1" applyFill="1" applyBorder="1"/>
    <xf numFmtId="0" fontId="1" fillId="0" borderId="58" xfId="0" applyFont="1" applyBorder="1" applyAlignment="1">
      <alignment horizontal="center"/>
    </xf>
    <xf numFmtId="0" fontId="6" fillId="0" borderId="58" xfId="0" applyFont="1" applyBorder="1"/>
    <xf numFmtId="0" fontId="6" fillId="0" borderId="59" xfId="0" applyFont="1" applyBorder="1"/>
    <xf numFmtId="0" fontId="6" fillId="0" borderId="63" xfId="0" applyFont="1" applyBorder="1"/>
    <xf numFmtId="0" fontId="3" fillId="0" borderId="63" xfId="0" applyFont="1" applyBorder="1" applyAlignment="1">
      <alignment horizontal="center"/>
    </xf>
    <xf numFmtId="0" fontId="3" fillId="0" borderId="6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165" fontId="3" fillId="0" borderId="5" xfId="0" applyNumberFormat="1" applyFont="1" applyBorder="1" applyAlignment="1">
      <alignment horizontal="center" vertical="top" textRotation="255"/>
    </xf>
    <xf numFmtId="165" fontId="6" fillId="0" borderId="5" xfId="0" applyNumberFormat="1" applyFont="1" applyBorder="1" applyAlignment="1">
      <alignment vertical="top"/>
    </xf>
    <xf numFmtId="0" fontId="6" fillId="3" borderId="65" xfId="0" applyFont="1" applyFill="1" applyBorder="1" applyAlignment="1">
      <alignment vertical="top"/>
    </xf>
    <xf numFmtId="0" fontId="3" fillId="0" borderId="51" xfId="0" applyFont="1" applyBorder="1" applyAlignment="1">
      <alignment horizontal="center" textRotation="255"/>
    </xf>
    <xf numFmtId="0" fontId="7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3" fillId="0" borderId="69" xfId="0" applyFont="1" applyBorder="1"/>
    <xf numFmtId="0" fontId="8" fillId="3" borderId="71" xfId="0" applyFont="1" applyFill="1" applyBorder="1"/>
    <xf numFmtId="0" fontId="7" fillId="3" borderId="72" xfId="0" applyFont="1" applyFill="1" applyBorder="1" applyAlignment="1">
      <alignment horizontal="left"/>
    </xf>
    <xf numFmtId="0" fontId="8" fillId="3" borderId="72" xfId="0" applyFont="1" applyFill="1" applyBorder="1"/>
    <xf numFmtId="0" fontId="8" fillId="3" borderId="72" xfId="0" applyFont="1" applyFill="1" applyBorder="1" applyAlignment="1">
      <alignment horizontal="right"/>
    </xf>
    <xf numFmtId="0" fontId="7" fillId="3" borderId="72" xfId="0" applyFont="1" applyFill="1" applyBorder="1" applyAlignment="1">
      <alignment vertical="top" textRotation="180"/>
    </xf>
    <xf numFmtId="0" fontId="7" fillId="3" borderId="73" xfId="0" applyFont="1" applyFill="1" applyBorder="1" applyAlignment="1">
      <alignment vertical="top" textRotation="180"/>
    </xf>
    <xf numFmtId="0" fontId="4" fillId="0" borderId="0" xfId="0" applyFont="1"/>
    <xf numFmtId="0" fontId="4" fillId="2" borderId="7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center" vertical="top"/>
    </xf>
    <xf numFmtId="0" fontId="5" fillId="4" borderId="55" xfId="0" applyFont="1" applyFill="1" applyBorder="1" applyAlignment="1">
      <alignment horizontal="right"/>
    </xf>
    <xf numFmtId="0" fontId="9" fillId="0" borderId="5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7" fillId="3" borderId="45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right"/>
    </xf>
    <xf numFmtId="0" fontId="3" fillId="0" borderId="0" xfId="0" applyFont="1" applyAlignment="1">
      <alignment vertical="top"/>
    </xf>
    <xf numFmtId="0" fontId="3" fillId="4" borderId="1" xfId="0" applyFont="1" applyFill="1" applyBorder="1" applyAlignment="1">
      <alignment horizontal="right"/>
    </xf>
    <xf numFmtId="0" fontId="10" fillId="0" borderId="0" xfId="0" applyFont="1" applyAlignment="1">
      <alignment horizontal="center"/>
    </xf>
    <xf numFmtId="0" fontId="4" fillId="2" borderId="47" xfId="0" applyFont="1" applyFill="1" applyBorder="1" applyAlignment="1">
      <alignment horizontal="left" vertical="top"/>
    </xf>
    <xf numFmtId="0" fontId="3" fillId="2" borderId="48" xfId="0" applyFont="1" applyFill="1" applyBorder="1" applyAlignment="1">
      <alignment horizontal="center" vertical="top"/>
    </xf>
    <xf numFmtId="0" fontId="3" fillId="2" borderId="49" xfId="0" applyFont="1" applyFill="1" applyBorder="1" applyAlignment="1">
      <alignment horizontal="right" vertical="top"/>
    </xf>
    <xf numFmtId="0" fontId="3" fillId="4" borderId="50" xfId="0" applyFont="1" applyFill="1" applyBorder="1" applyAlignment="1">
      <alignment horizontal="right"/>
    </xf>
    <xf numFmtId="0" fontId="9" fillId="0" borderId="51" xfId="0" applyFont="1" applyBorder="1" applyAlignment="1">
      <alignment horizontal="center"/>
    </xf>
    <xf numFmtId="0" fontId="9" fillId="0" borderId="52" xfId="0" applyFont="1" applyBorder="1" applyAlignment="1">
      <alignment horizontal="center"/>
    </xf>
    <xf numFmtId="0" fontId="4" fillId="2" borderId="26" xfId="0" applyFont="1" applyFill="1" applyBorder="1"/>
    <xf numFmtId="0" fontId="3" fillId="2" borderId="42" xfId="0" applyFont="1" applyFill="1" applyBorder="1" applyAlignment="1">
      <alignment horizontal="right"/>
    </xf>
    <xf numFmtId="0" fontId="3" fillId="4" borderId="53" xfId="0" applyFont="1" applyFill="1" applyBorder="1" applyAlignment="1">
      <alignment horizontal="left"/>
    </xf>
    <xf numFmtId="0" fontId="9" fillId="0" borderId="43" xfId="0" applyFont="1" applyBorder="1" applyAlignment="1">
      <alignment horizontal="center"/>
    </xf>
    <xf numFmtId="0" fontId="9" fillId="0" borderId="44" xfId="0" applyFont="1" applyBorder="1" applyAlignment="1">
      <alignment horizontal="center"/>
    </xf>
    <xf numFmtId="0" fontId="7" fillId="3" borderId="45" xfId="0" applyFont="1" applyFill="1" applyBorder="1" applyAlignment="1">
      <alignment vertical="top"/>
    </xf>
    <xf numFmtId="0" fontId="3" fillId="2" borderId="8" xfId="0" applyFont="1" applyFill="1" applyBorder="1"/>
    <xf numFmtId="0" fontId="3" fillId="4" borderId="5" xfId="0" applyFont="1" applyFill="1" applyBorder="1" applyAlignment="1">
      <alignment horizontal="left"/>
    </xf>
    <xf numFmtId="0" fontId="3" fillId="4" borderId="5" xfId="0" applyFont="1" applyFill="1" applyBorder="1"/>
    <xf numFmtId="0" fontId="4" fillId="2" borderId="54" xfId="0" applyFont="1" applyFill="1" applyBorder="1"/>
    <xf numFmtId="0" fontId="3" fillId="2" borderId="55" xfId="0" applyFont="1" applyFill="1" applyBorder="1"/>
    <xf numFmtId="0" fontId="3" fillId="4" borderId="57" xfId="0" applyFont="1" applyFill="1" applyBorder="1" applyAlignment="1">
      <alignment horizontal="left"/>
    </xf>
    <xf numFmtId="0" fontId="9" fillId="0" borderId="58" xfId="0" applyFont="1" applyBorder="1" applyAlignment="1">
      <alignment horizontal="center"/>
    </xf>
    <xf numFmtId="0" fontId="9" fillId="0" borderId="59" xfId="0" applyFont="1" applyBorder="1" applyAlignment="1">
      <alignment horizontal="center"/>
    </xf>
    <xf numFmtId="0" fontId="3" fillId="0" borderId="63" xfId="0" applyFont="1" applyBorder="1" applyAlignment="1">
      <alignment horizontal="left"/>
    </xf>
    <xf numFmtId="0" fontId="11" fillId="0" borderId="63" xfId="0" applyFont="1" applyBorder="1" applyAlignment="1">
      <alignment horizontal="center"/>
    </xf>
    <xf numFmtId="0" fontId="11" fillId="0" borderId="64" xfId="0" applyFont="1" applyBorder="1" applyAlignment="1">
      <alignment horizontal="center"/>
    </xf>
    <xf numFmtId="0" fontId="12" fillId="0" borderId="5" xfId="0" applyFont="1" applyBorder="1" applyAlignment="1">
      <alignment horizontal="left"/>
    </xf>
    <xf numFmtId="0" fontId="11" fillId="0" borderId="5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3" fillId="0" borderId="5" xfId="0" applyFont="1" applyBorder="1"/>
    <xf numFmtId="165" fontId="3" fillId="0" borderId="5" xfId="0" applyNumberFormat="1" applyFont="1" applyBorder="1" applyAlignment="1">
      <alignment vertical="top" textRotation="255"/>
    </xf>
    <xf numFmtId="165" fontId="3" fillId="0" borderId="46" xfId="0" applyNumberFormat="1" applyFont="1" applyBorder="1" applyAlignment="1">
      <alignment vertical="top" textRotation="255"/>
    </xf>
    <xf numFmtId="0" fontId="7" fillId="3" borderId="65" xfId="0" applyFont="1" applyFill="1" applyBorder="1" applyAlignment="1">
      <alignment vertical="top"/>
    </xf>
    <xf numFmtId="0" fontId="3" fillId="0" borderId="51" xfId="0" applyFont="1" applyBorder="1"/>
    <xf numFmtId="0" fontId="3" fillId="0" borderId="51" xfId="0" applyFont="1" applyBorder="1" applyAlignment="1">
      <alignment textRotation="255"/>
    </xf>
    <xf numFmtId="0" fontId="3" fillId="0" borderId="52" xfId="0" applyFont="1" applyBorder="1" applyAlignment="1">
      <alignment textRotation="255"/>
    </xf>
    <xf numFmtId="0" fontId="7" fillId="3" borderId="74" xfId="0" applyFont="1" applyFill="1" applyBorder="1" applyAlignment="1">
      <alignment horizontal="left"/>
    </xf>
    <xf numFmtId="0" fontId="8" fillId="3" borderId="74" xfId="0" applyFont="1" applyFill="1" applyBorder="1"/>
    <xf numFmtId="0" fontId="8" fillId="3" borderId="74" xfId="0" applyFont="1" applyFill="1" applyBorder="1" applyAlignment="1">
      <alignment horizontal="right"/>
    </xf>
    <xf numFmtId="0" fontId="7" fillId="3" borderId="74" xfId="0" applyFont="1" applyFill="1" applyBorder="1" applyAlignment="1">
      <alignment vertical="top" textRotation="180"/>
    </xf>
    <xf numFmtId="0" fontId="7" fillId="3" borderId="75" xfId="0" applyFont="1" applyFill="1" applyBorder="1" applyAlignment="1">
      <alignment vertical="top" textRotation="180"/>
    </xf>
    <xf numFmtId="0" fontId="7" fillId="3" borderId="76" xfId="0" applyFont="1" applyFill="1" applyBorder="1" applyAlignment="1">
      <alignment vertical="top"/>
    </xf>
    <xf numFmtId="0" fontId="7" fillId="3" borderId="77" xfId="0" applyFont="1" applyFill="1" applyBorder="1" applyAlignment="1">
      <alignment vertical="top"/>
    </xf>
    <xf numFmtId="0" fontId="4" fillId="2" borderId="7" xfId="0" applyFont="1" applyFill="1" applyBorder="1" applyAlignment="1">
      <alignment horizontal="right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4" fillId="2" borderId="11" xfId="0" applyFont="1" applyFill="1" applyBorder="1" applyAlignment="1">
      <alignment horizontal="left" wrapText="1"/>
    </xf>
    <xf numFmtId="0" fontId="2" fillId="0" borderId="12" xfId="0" applyFont="1" applyBorder="1" applyAlignment="1">
      <alignment vertical="center"/>
    </xf>
    <xf numFmtId="49" fontId="5" fillId="2" borderId="13" xfId="0" applyNumberFormat="1" applyFont="1" applyFill="1" applyBorder="1" applyAlignment="1">
      <alignment horizontal="left" wrapText="1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4" fillId="2" borderId="16" xfId="0" applyFont="1" applyFill="1" applyBorder="1" applyAlignment="1">
      <alignment horizontal="left" wrapText="1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49" fontId="3" fillId="2" borderId="13" xfId="0" applyNumberFormat="1" applyFont="1" applyFill="1" applyBorder="1" applyAlignment="1">
      <alignment horizontal="center" wrapText="1"/>
    </xf>
    <xf numFmtId="0" fontId="2" fillId="0" borderId="19" xfId="0" applyFont="1" applyBorder="1" applyAlignment="1">
      <alignment vertical="center"/>
    </xf>
    <xf numFmtId="0" fontId="5" fillId="2" borderId="21" xfId="0" applyFont="1" applyFill="1" applyBorder="1" applyAlignment="1">
      <alignment horizontal="left" wrapText="1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4" fillId="2" borderId="2" xfId="0" applyFont="1" applyFill="1" applyBorder="1" applyAlignment="1">
      <alignment horizontal="left" wrapText="1"/>
    </xf>
    <xf numFmtId="0" fontId="5" fillId="2" borderId="24" xfId="0" applyFont="1" applyFill="1" applyBorder="1" applyAlignment="1">
      <alignment horizontal="left" wrapText="1"/>
    </xf>
    <xf numFmtId="0" fontId="2" fillId="0" borderId="25" xfId="0" applyFont="1" applyBorder="1" applyAlignment="1">
      <alignment vertical="center"/>
    </xf>
    <xf numFmtId="0" fontId="4" fillId="2" borderId="20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2" fillId="0" borderId="28" xfId="0" applyFont="1" applyBorder="1" applyAlignment="1">
      <alignment vertical="center"/>
    </xf>
    <xf numFmtId="0" fontId="5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6" fillId="0" borderId="0" xfId="0" applyFont="1"/>
    <xf numFmtId="0" fontId="0" fillId="0" borderId="0" xfId="0" applyAlignment="1">
      <alignment vertical="center"/>
    </xf>
    <xf numFmtId="0" fontId="3" fillId="0" borderId="60" xfId="0" applyFont="1" applyBorder="1"/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3" fillId="0" borderId="2" xfId="0" applyFont="1" applyBorder="1"/>
    <xf numFmtId="0" fontId="3" fillId="0" borderId="2" xfId="0" applyFont="1" applyBorder="1" applyAlignment="1">
      <alignment vertical="top"/>
    </xf>
    <xf numFmtId="0" fontId="3" fillId="0" borderId="66" xfId="0" applyFont="1" applyBorder="1" applyAlignment="1">
      <alignment vertical="top"/>
    </xf>
    <xf numFmtId="0" fontId="2" fillId="0" borderId="67" xfId="0" applyFont="1" applyBorder="1" applyAlignment="1">
      <alignment vertical="center"/>
    </xf>
    <xf numFmtId="0" fontId="2" fillId="0" borderId="68" xfId="0" applyFont="1" applyBorder="1" applyAlignment="1">
      <alignment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/>
    </xf>
    <xf numFmtId="0" fontId="2" fillId="0" borderId="31" xfId="0" applyFont="1" applyBorder="1" applyAlignment="1">
      <alignment vertical="center"/>
    </xf>
    <xf numFmtId="0" fontId="4" fillId="2" borderId="13" xfId="0" applyFont="1" applyFill="1" applyBorder="1" applyAlignment="1">
      <alignment horizontal="left" wrapText="1"/>
    </xf>
    <xf numFmtId="0" fontId="4" fillId="2" borderId="21" xfId="0" applyFont="1" applyFill="1" applyBorder="1" applyAlignment="1">
      <alignment horizontal="left" wrapText="1"/>
    </xf>
    <xf numFmtId="0" fontId="4" fillId="2" borderId="70" xfId="0" applyFont="1" applyFill="1" applyBorder="1" applyAlignment="1">
      <alignment horizontal="left" wrapText="1"/>
    </xf>
    <xf numFmtId="0" fontId="3" fillId="0" borderId="0" xfId="0" applyFont="1" applyAlignment="1">
      <alignment horizontal="right"/>
    </xf>
    <xf numFmtId="0" fontId="3" fillId="0" borderId="60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vertical="top"/>
    </xf>
    <xf numFmtId="0" fontId="3" fillId="0" borderId="66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9.875" customWidth="1"/>
    <col min="5" max="5" width="1.875" hidden="1" customWidth="1"/>
    <col min="6" max="6" width="5.5" customWidth="1"/>
    <col min="7" max="11" width="5" customWidth="1"/>
    <col min="12" max="12" width="5.125" customWidth="1"/>
    <col min="13" max="13" width="2.5" customWidth="1"/>
    <col min="14" max="21" width="2.875" customWidth="1"/>
    <col min="22" max="23" width="9" customWidth="1"/>
    <col min="24" max="26" width="10" customWidth="1"/>
  </cols>
  <sheetData>
    <row r="1" spans="1:26" ht="13.5" customHeight="1" x14ac:dyDescent="0.15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 x14ac:dyDescent="0.15">
      <c r="A2" s="132" t="s">
        <v>8</v>
      </c>
      <c r="B2" s="133"/>
      <c r="C2" s="134" t="e">
        <f>#REF!</f>
        <v>#REF!</v>
      </c>
      <c r="D2" s="135"/>
      <c r="E2" s="136"/>
      <c r="F2" s="137" t="s">
        <v>1</v>
      </c>
      <c r="G2" s="138"/>
      <c r="H2" s="138"/>
      <c r="I2" s="138"/>
      <c r="J2" s="138"/>
      <c r="K2" s="139"/>
      <c r="L2" s="140" t="e">
        <f>#REF!</f>
        <v>#REF!</v>
      </c>
      <c r="M2" s="135"/>
      <c r="N2" s="135"/>
      <c r="O2" s="135"/>
      <c r="P2" s="135"/>
      <c r="Q2" s="135"/>
      <c r="R2" s="135"/>
      <c r="S2" s="135"/>
      <c r="T2" s="141"/>
      <c r="U2" s="3"/>
      <c r="V2" s="5"/>
      <c r="W2" s="3"/>
      <c r="X2" s="3"/>
      <c r="Y2" s="3"/>
      <c r="Z2" s="3"/>
    </row>
    <row r="3" spans="1:26" ht="13.5" customHeight="1" x14ac:dyDescent="0.15">
      <c r="A3" s="148" t="s">
        <v>9</v>
      </c>
      <c r="B3" s="130"/>
      <c r="C3" s="142" t="s">
        <v>10</v>
      </c>
      <c r="D3" s="143"/>
      <c r="E3" s="144"/>
      <c r="F3" s="145" t="s">
        <v>11</v>
      </c>
      <c r="G3" s="129"/>
      <c r="H3" s="129"/>
      <c r="I3" s="129"/>
      <c r="J3" s="129"/>
      <c r="K3" s="130"/>
      <c r="L3" s="146"/>
      <c r="M3" s="143"/>
      <c r="N3" s="147"/>
      <c r="O3" s="6"/>
      <c r="P3" s="6"/>
      <c r="Q3" s="6"/>
      <c r="R3" s="6"/>
      <c r="S3" s="6"/>
      <c r="T3" s="7"/>
      <c r="U3" s="3"/>
      <c r="V3" s="3"/>
      <c r="W3" s="3"/>
      <c r="X3" s="3"/>
      <c r="Y3" s="3"/>
      <c r="Z3" s="3"/>
    </row>
    <row r="4" spans="1:26" ht="13.5" customHeight="1" x14ac:dyDescent="0.15">
      <c r="A4" s="148" t="s">
        <v>12</v>
      </c>
      <c r="B4" s="130"/>
      <c r="C4" s="149">
        <v>100</v>
      </c>
      <c r="D4" s="131"/>
      <c r="E4" s="8"/>
      <c r="F4" s="145" t="s">
        <v>13</v>
      </c>
      <c r="G4" s="129"/>
      <c r="H4" s="129"/>
      <c r="I4" s="129"/>
      <c r="J4" s="129"/>
      <c r="K4" s="130"/>
      <c r="L4" s="150" t="e">
        <f>IF(#REF!&lt;&gt;"N/A",SUM(C4*#REF!/1000,-O7),"N/A")</f>
        <v>#REF!</v>
      </c>
      <c r="M4" s="129"/>
      <c r="N4" s="129"/>
      <c r="O4" s="129"/>
      <c r="P4" s="129"/>
      <c r="Q4" s="129"/>
      <c r="R4" s="129"/>
      <c r="S4" s="129"/>
      <c r="T4" s="151"/>
      <c r="U4" s="3"/>
      <c r="V4" s="5"/>
      <c r="W4" s="3"/>
      <c r="X4" s="3"/>
      <c r="Y4" s="3"/>
      <c r="Z4" s="3"/>
    </row>
    <row r="5" spans="1:26" ht="13.5" customHeight="1" x14ac:dyDescent="0.15">
      <c r="A5" s="148" t="s">
        <v>14</v>
      </c>
      <c r="B5" s="130"/>
      <c r="C5" s="152" t="s">
        <v>15</v>
      </c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51"/>
      <c r="U5" s="3"/>
      <c r="V5" s="3"/>
      <c r="W5" s="3"/>
      <c r="X5" s="3"/>
      <c r="Y5" s="3"/>
      <c r="Z5" s="3"/>
    </row>
    <row r="6" spans="1:26" ht="13.5" customHeight="1" x14ac:dyDescent="0.15">
      <c r="A6" s="167" t="s">
        <v>2</v>
      </c>
      <c r="B6" s="130"/>
      <c r="C6" s="153" t="s">
        <v>3</v>
      </c>
      <c r="D6" s="129"/>
      <c r="E6" s="130"/>
      <c r="F6" s="153" t="s">
        <v>4</v>
      </c>
      <c r="G6" s="129"/>
      <c r="H6" s="129"/>
      <c r="I6" s="129"/>
      <c r="J6" s="129"/>
      <c r="K6" s="130"/>
      <c r="L6" s="168" t="s">
        <v>16</v>
      </c>
      <c r="M6" s="129"/>
      <c r="N6" s="131"/>
      <c r="O6" s="153" t="s">
        <v>7</v>
      </c>
      <c r="P6" s="129"/>
      <c r="Q6" s="129"/>
      <c r="R6" s="129"/>
      <c r="S6" s="129"/>
      <c r="T6" s="151"/>
      <c r="U6" s="3"/>
      <c r="V6" s="5"/>
      <c r="W6" s="3"/>
      <c r="X6" s="3"/>
      <c r="Y6" s="3"/>
      <c r="Z6" s="3"/>
    </row>
    <row r="7" spans="1:26" ht="13.5" customHeight="1" x14ac:dyDescent="0.15">
      <c r="A7" s="169">
        <f>COUNTIF(F40:HQ40,"P")</f>
        <v>9</v>
      </c>
      <c r="B7" s="170"/>
      <c r="C7" s="154">
        <f>COUNTIF(F40:HQ40,"F")</f>
        <v>0</v>
      </c>
      <c r="D7" s="155"/>
      <c r="E7" s="170"/>
      <c r="F7" s="154">
        <f>SUM(O7,-A7,-C7)</f>
        <v>6</v>
      </c>
      <c r="G7" s="155"/>
      <c r="H7" s="155"/>
      <c r="I7" s="155"/>
      <c r="J7" s="155"/>
      <c r="K7" s="170"/>
      <c r="L7" s="9">
        <f>COUNTIF(E39:HQ39,"N")</f>
        <v>4</v>
      </c>
      <c r="M7" s="9">
        <f>COUNTIF(E39:HQ39,"A")</f>
        <v>1</v>
      </c>
      <c r="N7" s="9">
        <f>COUNTIF(E39:HQ39,"B")</f>
        <v>4</v>
      </c>
      <c r="O7" s="154">
        <f>COUNTA(E9:HT9)</f>
        <v>15</v>
      </c>
      <c r="P7" s="155"/>
      <c r="Q7" s="155"/>
      <c r="R7" s="155"/>
      <c r="S7" s="155"/>
      <c r="T7" s="156"/>
      <c r="U7" s="10"/>
      <c r="V7" s="3"/>
      <c r="W7" s="3"/>
      <c r="X7" s="3"/>
      <c r="Y7" s="3"/>
      <c r="Z7" s="3"/>
    </row>
    <row r="8" spans="1:26" ht="12" customHeight="1" x14ac:dyDescent="0.15">
      <c r="A8" s="3"/>
      <c r="B8" s="11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6.5" customHeight="1" x14ac:dyDescent="0.15">
      <c r="A9" s="12"/>
      <c r="B9" s="13"/>
      <c r="C9" s="13"/>
      <c r="D9" s="13"/>
      <c r="E9" s="13"/>
      <c r="F9" s="14" t="s">
        <v>17</v>
      </c>
      <c r="G9" s="14" t="s">
        <v>18</v>
      </c>
      <c r="H9" s="14" t="s">
        <v>19</v>
      </c>
      <c r="I9" s="14" t="s">
        <v>20</v>
      </c>
      <c r="J9" s="14" t="s">
        <v>21</v>
      </c>
      <c r="K9" s="14" t="s">
        <v>22</v>
      </c>
      <c r="L9" s="14" t="s">
        <v>23</v>
      </c>
      <c r="M9" s="14" t="s">
        <v>24</v>
      </c>
      <c r="N9" s="14" t="s">
        <v>25</v>
      </c>
      <c r="O9" s="14" t="s">
        <v>26</v>
      </c>
      <c r="P9" s="14" t="s">
        <v>27</v>
      </c>
      <c r="Q9" s="14" t="s">
        <v>28</v>
      </c>
      <c r="R9" s="14" t="s">
        <v>29</v>
      </c>
      <c r="S9" s="14" t="s">
        <v>30</v>
      </c>
      <c r="T9" s="15" t="s">
        <v>31</v>
      </c>
      <c r="U9" s="16"/>
      <c r="V9" s="5"/>
      <c r="W9" s="3"/>
      <c r="X9" s="3"/>
      <c r="Y9" s="3"/>
      <c r="Z9" s="3"/>
    </row>
    <row r="10" spans="1:26" ht="13.5" customHeight="1" x14ac:dyDescent="0.15">
      <c r="A10" s="17" t="s">
        <v>32</v>
      </c>
      <c r="B10" s="18" t="s">
        <v>33</v>
      </c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3"/>
      <c r="U10" s="16"/>
      <c r="V10" s="3"/>
      <c r="W10" s="3"/>
      <c r="X10" s="3"/>
      <c r="Y10" s="3"/>
      <c r="Z10" s="3"/>
    </row>
    <row r="11" spans="1:26" ht="13.5" customHeight="1" x14ac:dyDescent="0.2">
      <c r="A11" s="24"/>
      <c r="B11" s="25"/>
      <c r="C11" s="26"/>
      <c r="D11" s="27" t="s">
        <v>34</v>
      </c>
      <c r="E11" s="21"/>
      <c r="F11" s="28" t="s">
        <v>35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30"/>
      <c r="U11" s="16"/>
      <c r="V11" s="5"/>
      <c r="W11" s="3"/>
      <c r="X11" s="3"/>
      <c r="Y11" s="3"/>
      <c r="Z11" s="3"/>
    </row>
    <row r="12" spans="1:26" ht="13.5" customHeight="1" x14ac:dyDescent="0.2">
      <c r="A12" s="24"/>
      <c r="B12" s="25"/>
      <c r="C12" s="26"/>
      <c r="D12" s="27" t="s">
        <v>36</v>
      </c>
      <c r="E12" s="21"/>
      <c r="F12" s="29"/>
      <c r="G12" s="28" t="s">
        <v>35</v>
      </c>
      <c r="H12" s="29"/>
      <c r="I12" s="29"/>
      <c r="J12" s="29"/>
      <c r="K12" s="28" t="s">
        <v>35</v>
      </c>
      <c r="L12" s="29"/>
      <c r="M12" s="29"/>
      <c r="N12" s="29"/>
      <c r="O12" s="29"/>
      <c r="P12" s="29"/>
      <c r="Q12" s="29"/>
      <c r="R12" s="29"/>
      <c r="S12" s="29"/>
      <c r="T12" s="30"/>
      <c r="U12" s="16"/>
      <c r="V12" s="3"/>
      <c r="W12" s="3"/>
      <c r="X12" s="3"/>
      <c r="Y12" s="3"/>
      <c r="Z12" s="3"/>
    </row>
    <row r="13" spans="1:26" ht="13.5" customHeight="1" x14ac:dyDescent="0.2">
      <c r="A13" s="24"/>
      <c r="B13" s="25"/>
      <c r="C13" s="26"/>
      <c r="D13" s="27" t="s">
        <v>37</v>
      </c>
      <c r="E13" s="31"/>
      <c r="F13" s="29"/>
      <c r="G13" s="29"/>
      <c r="H13" s="29"/>
      <c r="I13" s="28" t="s">
        <v>35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30"/>
      <c r="U13" s="16"/>
      <c r="V13" s="3"/>
      <c r="W13" s="3"/>
      <c r="X13" s="3"/>
      <c r="Y13" s="3"/>
      <c r="Z13" s="3"/>
    </row>
    <row r="14" spans="1:26" ht="13.5" customHeight="1" x14ac:dyDescent="0.2">
      <c r="A14" s="24"/>
      <c r="B14" s="25"/>
      <c r="C14" s="26"/>
      <c r="D14" s="27" t="s">
        <v>38</v>
      </c>
      <c r="E14" s="21"/>
      <c r="F14" s="29"/>
      <c r="G14" s="29"/>
      <c r="H14" s="28" t="s">
        <v>35</v>
      </c>
      <c r="I14" s="29"/>
      <c r="J14" s="28" t="s">
        <v>35</v>
      </c>
      <c r="K14" s="29"/>
      <c r="L14" s="28" t="s">
        <v>35</v>
      </c>
      <c r="M14" s="29"/>
      <c r="N14" s="29"/>
      <c r="O14" s="29"/>
      <c r="P14" s="29"/>
      <c r="Q14" s="29"/>
      <c r="R14" s="29"/>
      <c r="S14" s="29"/>
      <c r="T14" s="30"/>
      <c r="U14" s="16"/>
      <c r="V14" s="3"/>
      <c r="W14" s="3"/>
      <c r="X14" s="3"/>
      <c r="Y14" s="3"/>
      <c r="Z14" s="3"/>
    </row>
    <row r="15" spans="1:26" ht="13.5" customHeight="1" x14ac:dyDescent="0.15">
      <c r="A15" s="24"/>
      <c r="B15" s="32" t="s">
        <v>39</v>
      </c>
      <c r="C15" s="26"/>
      <c r="D15" s="33"/>
      <c r="E15" s="21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30"/>
      <c r="U15" s="16"/>
      <c r="V15" s="3"/>
      <c r="W15" s="3"/>
      <c r="X15" s="3"/>
      <c r="Y15" s="3"/>
      <c r="Z15" s="3"/>
    </row>
    <row r="16" spans="1:26" ht="13.5" customHeight="1" x14ac:dyDescent="0.2">
      <c r="A16" s="24"/>
      <c r="B16" s="25"/>
      <c r="C16" s="26"/>
      <c r="D16" s="27" t="s">
        <v>40</v>
      </c>
      <c r="E16" s="21"/>
      <c r="F16" s="28" t="s">
        <v>35</v>
      </c>
      <c r="G16" s="28" t="s">
        <v>35</v>
      </c>
      <c r="H16" s="28" t="s">
        <v>35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30"/>
      <c r="U16" s="16"/>
      <c r="V16" s="3"/>
      <c r="W16" s="3"/>
      <c r="X16" s="3"/>
      <c r="Y16" s="3"/>
      <c r="Z16" s="3"/>
    </row>
    <row r="17" spans="1:26" ht="13.5" customHeight="1" x14ac:dyDescent="0.2">
      <c r="A17" s="24"/>
      <c r="B17" s="25"/>
      <c r="C17" s="26"/>
      <c r="D17" s="27" t="s">
        <v>41</v>
      </c>
      <c r="E17" s="21"/>
      <c r="F17" s="29"/>
      <c r="G17" s="29"/>
      <c r="H17" s="29"/>
      <c r="I17" s="28" t="s">
        <v>35</v>
      </c>
      <c r="J17" s="28" t="s">
        <v>35</v>
      </c>
      <c r="K17" s="28" t="s">
        <v>35</v>
      </c>
      <c r="L17" s="29"/>
      <c r="M17" s="29"/>
      <c r="N17" s="29"/>
      <c r="O17" s="29"/>
      <c r="P17" s="29"/>
      <c r="Q17" s="29"/>
      <c r="R17" s="29"/>
      <c r="S17" s="29"/>
      <c r="T17" s="30"/>
      <c r="U17" s="16"/>
      <c r="V17" s="3"/>
      <c r="W17" s="3"/>
      <c r="X17" s="3"/>
      <c r="Y17" s="3"/>
      <c r="Z17" s="3"/>
    </row>
    <row r="18" spans="1:26" ht="13.5" customHeight="1" x14ac:dyDescent="0.2">
      <c r="A18" s="24"/>
      <c r="B18" s="25"/>
      <c r="C18" s="26"/>
      <c r="D18" s="27" t="s">
        <v>42</v>
      </c>
      <c r="E18" s="21"/>
      <c r="F18" s="29"/>
      <c r="G18" s="29"/>
      <c r="H18" s="29"/>
      <c r="I18" s="29"/>
      <c r="J18" s="29"/>
      <c r="K18" s="29"/>
      <c r="L18" s="28" t="s">
        <v>35</v>
      </c>
      <c r="M18" s="29"/>
      <c r="N18" s="29"/>
      <c r="O18" s="29"/>
      <c r="P18" s="29"/>
      <c r="Q18" s="29"/>
      <c r="R18" s="29"/>
      <c r="S18" s="29"/>
      <c r="T18" s="30"/>
      <c r="U18" s="16"/>
      <c r="V18" s="3"/>
      <c r="W18" s="3"/>
      <c r="X18" s="3"/>
      <c r="Y18" s="3"/>
      <c r="Z18" s="3"/>
    </row>
    <row r="19" spans="1:26" ht="13.5" customHeight="1" x14ac:dyDescent="0.15">
      <c r="A19" s="24"/>
      <c r="B19" s="25"/>
      <c r="C19" s="26"/>
      <c r="D19" s="157"/>
      <c r="E19" s="158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30"/>
      <c r="U19" s="16"/>
      <c r="V19" s="3"/>
      <c r="W19" s="3"/>
      <c r="X19" s="3"/>
      <c r="Y19" s="3"/>
      <c r="Z19" s="3"/>
    </row>
    <row r="20" spans="1:26" ht="13.5" customHeight="1" x14ac:dyDescent="0.15">
      <c r="A20" s="24"/>
      <c r="B20" s="25"/>
      <c r="C20" s="26"/>
      <c r="D20" s="33"/>
      <c r="E20" s="21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30"/>
      <c r="U20" s="16"/>
      <c r="V20" s="3"/>
      <c r="W20" s="3"/>
      <c r="X20" s="3"/>
      <c r="Y20" s="3"/>
      <c r="Z20" s="3"/>
    </row>
    <row r="21" spans="1:26" ht="13.5" customHeight="1" x14ac:dyDescent="0.15">
      <c r="A21" s="24"/>
      <c r="B21" s="25"/>
      <c r="C21" s="26"/>
      <c r="D21" s="33"/>
      <c r="E21" s="21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30"/>
      <c r="U21" s="16"/>
      <c r="V21" s="3"/>
      <c r="W21" s="3"/>
      <c r="X21" s="3"/>
      <c r="Y21" s="3"/>
      <c r="Z21" s="3"/>
    </row>
    <row r="22" spans="1:26" ht="13.5" customHeight="1" x14ac:dyDescent="0.15">
      <c r="A22" s="24"/>
      <c r="B22" s="25"/>
      <c r="C22" s="26"/>
      <c r="D22" s="33"/>
      <c r="E22" s="21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30"/>
      <c r="U22" s="16"/>
      <c r="V22" s="3"/>
      <c r="W22" s="3"/>
      <c r="X22" s="3"/>
      <c r="Y22" s="3"/>
      <c r="Z22" s="3"/>
    </row>
    <row r="23" spans="1:26" ht="13.5" customHeight="1" x14ac:dyDescent="0.15">
      <c r="A23" s="24"/>
      <c r="B23" s="25"/>
      <c r="C23" s="26"/>
      <c r="D23" s="33"/>
      <c r="E23" s="21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30"/>
      <c r="U23" s="16"/>
      <c r="V23" s="3"/>
      <c r="W23" s="3"/>
      <c r="X23" s="3"/>
      <c r="Y23" s="3"/>
      <c r="Z23" s="3"/>
    </row>
    <row r="24" spans="1:26" ht="13.5" customHeight="1" x14ac:dyDescent="0.15">
      <c r="A24" s="24"/>
      <c r="B24" s="25"/>
      <c r="C24" s="26"/>
      <c r="D24" s="33"/>
      <c r="E24" s="21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30"/>
      <c r="U24" s="16"/>
      <c r="V24" s="3"/>
      <c r="W24" s="3"/>
      <c r="X24" s="3"/>
      <c r="Y24" s="3"/>
      <c r="Z24" s="3"/>
    </row>
    <row r="25" spans="1:26" ht="13.5" customHeight="1" x14ac:dyDescent="0.15">
      <c r="A25" s="24"/>
      <c r="B25" s="25"/>
      <c r="C25" s="26"/>
      <c r="D25" s="33"/>
      <c r="E25" s="21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30"/>
      <c r="U25" s="16"/>
      <c r="V25" s="3"/>
      <c r="W25" s="3"/>
      <c r="X25" s="3"/>
      <c r="Y25" s="3"/>
      <c r="Z25" s="3"/>
    </row>
    <row r="26" spans="1:26" ht="13.5" customHeight="1" x14ac:dyDescent="0.15">
      <c r="A26" s="24"/>
      <c r="B26" s="25"/>
      <c r="C26" s="26"/>
      <c r="D26" s="33"/>
      <c r="E26" s="21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30"/>
      <c r="U26" s="16"/>
      <c r="V26" s="3"/>
      <c r="W26" s="3"/>
      <c r="X26" s="3"/>
      <c r="Y26" s="3"/>
      <c r="Z26" s="3"/>
    </row>
    <row r="27" spans="1:26" ht="13.5" customHeight="1" x14ac:dyDescent="0.15">
      <c r="A27" s="24"/>
      <c r="B27" s="25"/>
      <c r="C27" s="26"/>
      <c r="D27" s="33"/>
      <c r="E27" s="21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30"/>
      <c r="U27" s="16"/>
      <c r="V27" s="3"/>
      <c r="W27" s="3"/>
      <c r="X27" s="3"/>
      <c r="Y27" s="3"/>
      <c r="Z27" s="3"/>
    </row>
    <row r="28" spans="1:26" ht="13.5" customHeight="1" x14ac:dyDescent="0.15">
      <c r="A28" s="24"/>
      <c r="B28" s="25"/>
      <c r="C28" s="26"/>
      <c r="D28" s="33"/>
      <c r="E28" s="21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30"/>
      <c r="U28" s="16"/>
      <c r="V28" s="3"/>
      <c r="W28" s="3"/>
      <c r="X28" s="3"/>
      <c r="Y28" s="3"/>
      <c r="Z28" s="3"/>
    </row>
    <row r="29" spans="1:26" ht="13.5" customHeight="1" x14ac:dyDescent="0.15">
      <c r="A29" s="24"/>
      <c r="B29" s="25"/>
      <c r="C29" s="26"/>
      <c r="D29" s="33"/>
      <c r="E29" s="21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30"/>
      <c r="U29" s="16"/>
      <c r="V29" s="3"/>
      <c r="W29" s="3"/>
      <c r="X29" s="3"/>
      <c r="Y29" s="3"/>
      <c r="Z29" s="3"/>
    </row>
    <row r="30" spans="1:26" ht="13.5" customHeight="1" x14ac:dyDescent="0.15">
      <c r="A30" s="24"/>
      <c r="B30" s="34"/>
      <c r="C30" s="35"/>
      <c r="D30" s="36"/>
      <c r="E30" s="37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9"/>
      <c r="U30" s="16"/>
      <c r="V30" s="3"/>
      <c r="W30" s="3"/>
      <c r="X30" s="3"/>
      <c r="Y30" s="3"/>
      <c r="Z30" s="3"/>
    </row>
    <row r="31" spans="1:26" ht="13.5" customHeight="1" x14ac:dyDescent="0.15">
      <c r="A31" s="40" t="s">
        <v>43</v>
      </c>
      <c r="B31" s="41" t="s">
        <v>44</v>
      </c>
      <c r="C31" s="42"/>
      <c r="D31" s="43"/>
      <c r="E31" s="44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3"/>
      <c r="U31" s="16"/>
      <c r="V31" s="3"/>
      <c r="W31" s="3"/>
      <c r="X31" s="3"/>
      <c r="Y31" s="3"/>
      <c r="Z31" s="3"/>
    </row>
    <row r="32" spans="1:26" ht="13.5" customHeight="1" x14ac:dyDescent="0.2">
      <c r="A32" s="45"/>
      <c r="B32" s="46"/>
      <c r="C32" s="47"/>
      <c r="D32" s="48" t="s">
        <v>45</v>
      </c>
      <c r="E32" s="49"/>
      <c r="F32" s="29"/>
      <c r="G32" s="29"/>
      <c r="H32" s="28" t="s">
        <v>35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30"/>
      <c r="U32" s="16"/>
      <c r="V32" s="3"/>
      <c r="W32" s="3"/>
      <c r="X32" s="3"/>
      <c r="Y32" s="3"/>
      <c r="Z32" s="3"/>
    </row>
    <row r="33" spans="1:26" ht="13.5" customHeight="1" x14ac:dyDescent="0.2">
      <c r="A33" s="45"/>
      <c r="B33" s="46"/>
      <c r="C33" s="47"/>
      <c r="D33" s="48" t="s">
        <v>46</v>
      </c>
      <c r="E33" s="49"/>
      <c r="F33" s="28" t="s">
        <v>35</v>
      </c>
      <c r="G33" s="28" t="s">
        <v>35</v>
      </c>
      <c r="H33" s="29"/>
      <c r="I33" s="28" t="s">
        <v>35</v>
      </c>
      <c r="J33" s="28" t="s">
        <v>35</v>
      </c>
      <c r="K33" s="28" t="s">
        <v>35</v>
      </c>
      <c r="L33" s="28" t="s">
        <v>35</v>
      </c>
      <c r="M33" s="29"/>
      <c r="N33" s="29"/>
      <c r="O33" s="29"/>
      <c r="P33" s="29"/>
      <c r="Q33" s="29"/>
      <c r="R33" s="29"/>
      <c r="S33" s="29"/>
      <c r="T33" s="30"/>
      <c r="U33" s="16"/>
      <c r="V33" s="3"/>
      <c r="W33" s="3"/>
      <c r="X33" s="3"/>
      <c r="Y33" s="3"/>
      <c r="Z33" s="3"/>
    </row>
    <row r="34" spans="1:26" ht="13.5" customHeight="1" x14ac:dyDescent="0.15">
      <c r="A34" s="45"/>
      <c r="B34" s="50" t="s">
        <v>47</v>
      </c>
      <c r="C34" s="47"/>
      <c r="D34" s="51"/>
      <c r="E34" s="4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30"/>
      <c r="U34" s="16"/>
      <c r="V34" s="3"/>
      <c r="W34" s="3"/>
      <c r="X34" s="3"/>
      <c r="Y34" s="3"/>
      <c r="Z34" s="3"/>
    </row>
    <row r="35" spans="1:26" ht="13.5" customHeight="1" x14ac:dyDescent="0.15">
      <c r="A35" s="45"/>
      <c r="B35" s="46"/>
      <c r="C35" s="47"/>
      <c r="D35" s="51"/>
      <c r="E35" s="4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30"/>
      <c r="U35" s="16"/>
      <c r="V35" s="3"/>
      <c r="W35" s="3"/>
      <c r="X35" s="3"/>
      <c r="Y35" s="3"/>
      <c r="Z35" s="3"/>
    </row>
    <row r="36" spans="1:26" ht="13.5" customHeight="1" x14ac:dyDescent="0.15">
      <c r="A36" s="45"/>
      <c r="B36" s="50" t="s">
        <v>48</v>
      </c>
      <c r="C36" s="47"/>
      <c r="D36" s="51"/>
      <c r="E36" s="4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30"/>
      <c r="U36" s="16"/>
      <c r="V36" s="3"/>
      <c r="W36" s="3"/>
      <c r="X36" s="3"/>
      <c r="Y36" s="3"/>
      <c r="Z36" s="3"/>
    </row>
    <row r="37" spans="1:26" ht="13.5" customHeight="1" x14ac:dyDescent="0.2">
      <c r="A37" s="45"/>
      <c r="B37" s="46"/>
      <c r="C37" s="47"/>
      <c r="D37" s="48" t="s">
        <v>49</v>
      </c>
      <c r="E37" s="49"/>
      <c r="F37" s="29"/>
      <c r="G37" s="29"/>
      <c r="H37" s="28" t="s">
        <v>35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30"/>
      <c r="U37" s="16"/>
      <c r="V37" s="3"/>
      <c r="W37" s="3"/>
      <c r="X37" s="3"/>
      <c r="Y37" s="3"/>
      <c r="Z37" s="3"/>
    </row>
    <row r="38" spans="1:26" ht="13.5" customHeight="1" x14ac:dyDescent="0.2">
      <c r="A38" s="45"/>
      <c r="B38" s="52"/>
      <c r="C38" s="53"/>
      <c r="D38" s="54" t="s">
        <v>50</v>
      </c>
      <c r="E38" s="55"/>
      <c r="F38" s="56" t="s">
        <v>35</v>
      </c>
      <c r="G38" s="56" t="s">
        <v>35</v>
      </c>
      <c r="H38" s="57"/>
      <c r="I38" s="56" t="s">
        <v>35</v>
      </c>
      <c r="J38" s="56" t="s">
        <v>35</v>
      </c>
      <c r="K38" s="56" t="s">
        <v>35</v>
      </c>
      <c r="L38" s="56" t="s">
        <v>35</v>
      </c>
      <c r="M38" s="57"/>
      <c r="N38" s="57"/>
      <c r="O38" s="57"/>
      <c r="P38" s="57"/>
      <c r="Q38" s="57"/>
      <c r="R38" s="57"/>
      <c r="S38" s="57"/>
      <c r="T38" s="58"/>
      <c r="U38" s="16"/>
      <c r="V38" s="3"/>
      <c r="W38" s="3"/>
      <c r="X38" s="3"/>
      <c r="Y38" s="3"/>
      <c r="Z38" s="3"/>
    </row>
    <row r="39" spans="1:26" ht="13.5" customHeight="1" x14ac:dyDescent="0.15">
      <c r="A39" s="40" t="s">
        <v>51</v>
      </c>
      <c r="B39" s="159" t="s">
        <v>52</v>
      </c>
      <c r="C39" s="160"/>
      <c r="D39" s="161"/>
      <c r="E39" s="59"/>
      <c r="F39" s="60" t="s">
        <v>0</v>
      </c>
      <c r="G39" s="60" t="s">
        <v>6</v>
      </c>
      <c r="H39" s="60" t="s">
        <v>6</v>
      </c>
      <c r="I39" s="60" t="s">
        <v>5</v>
      </c>
      <c r="J39" s="60" t="s">
        <v>5</v>
      </c>
      <c r="K39" s="60" t="s">
        <v>6</v>
      </c>
      <c r="L39" s="60" t="s">
        <v>6</v>
      </c>
      <c r="M39" s="59"/>
      <c r="N39" s="59"/>
      <c r="O39" s="59"/>
      <c r="P39" s="59"/>
      <c r="Q39" s="59"/>
      <c r="R39" s="59"/>
      <c r="S39" s="60" t="s">
        <v>5</v>
      </c>
      <c r="T39" s="61" t="s">
        <v>5</v>
      </c>
      <c r="U39" s="16"/>
      <c r="V39" s="3"/>
      <c r="W39" s="3"/>
      <c r="X39" s="3"/>
      <c r="Y39" s="3"/>
      <c r="Z39" s="3"/>
    </row>
    <row r="40" spans="1:26" ht="13.5" customHeight="1" x14ac:dyDescent="0.15">
      <c r="A40" s="45"/>
      <c r="B40" s="162" t="s">
        <v>53</v>
      </c>
      <c r="C40" s="129"/>
      <c r="D40" s="130"/>
      <c r="E40" s="29"/>
      <c r="F40" s="62" t="s">
        <v>54</v>
      </c>
      <c r="G40" s="62" t="s">
        <v>54</v>
      </c>
      <c r="H40" s="62" t="s">
        <v>54</v>
      </c>
      <c r="I40" s="62" t="s">
        <v>54</v>
      </c>
      <c r="J40" s="62" t="s">
        <v>54</v>
      </c>
      <c r="K40" s="62" t="s">
        <v>54</v>
      </c>
      <c r="L40" s="62" t="s">
        <v>54</v>
      </c>
      <c r="M40" s="29"/>
      <c r="N40" s="29"/>
      <c r="O40" s="29"/>
      <c r="P40" s="29"/>
      <c r="Q40" s="29"/>
      <c r="R40" s="29"/>
      <c r="S40" s="62" t="s">
        <v>54</v>
      </c>
      <c r="T40" s="63" t="s">
        <v>54</v>
      </c>
      <c r="U40" s="16"/>
      <c r="V40" s="3"/>
      <c r="W40" s="3"/>
      <c r="X40" s="3"/>
      <c r="Y40" s="3"/>
      <c r="Z40" s="3"/>
    </row>
    <row r="41" spans="1:26" ht="13.5" customHeight="1" x14ac:dyDescent="0.15">
      <c r="A41" s="45"/>
      <c r="B41" s="163" t="s">
        <v>55</v>
      </c>
      <c r="C41" s="129"/>
      <c r="D41" s="130"/>
      <c r="E41" s="29"/>
      <c r="F41" s="64">
        <v>45992</v>
      </c>
      <c r="G41" s="64">
        <v>45993</v>
      </c>
      <c r="H41" s="64">
        <v>45994</v>
      </c>
      <c r="I41" s="64">
        <v>45995</v>
      </c>
      <c r="J41" s="64">
        <v>45996</v>
      </c>
      <c r="K41" s="64">
        <v>45997</v>
      </c>
      <c r="L41" s="64">
        <v>45998</v>
      </c>
      <c r="M41" s="65"/>
      <c r="N41" s="65"/>
      <c r="O41" s="65"/>
      <c r="P41" s="65"/>
      <c r="Q41" s="65"/>
      <c r="R41" s="65"/>
      <c r="S41" s="65"/>
      <c r="T41" s="65"/>
      <c r="U41" s="16"/>
      <c r="V41" s="3"/>
      <c r="W41" s="3"/>
      <c r="X41" s="3"/>
      <c r="Y41" s="3"/>
      <c r="Z41" s="3"/>
    </row>
    <row r="42" spans="1:26" ht="79.5" customHeight="1" x14ac:dyDescent="0.15">
      <c r="A42" s="66"/>
      <c r="B42" s="164" t="s">
        <v>56</v>
      </c>
      <c r="C42" s="165"/>
      <c r="D42" s="166"/>
      <c r="E42" s="38"/>
      <c r="F42" s="67" t="s">
        <v>57</v>
      </c>
      <c r="G42" s="67" t="s">
        <v>58</v>
      </c>
      <c r="H42" s="67" t="s">
        <v>59</v>
      </c>
      <c r="I42" s="67" t="s">
        <v>60</v>
      </c>
      <c r="J42" s="67" t="s">
        <v>61</v>
      </c>
      <c r="K42" s="67" t="s">
        <v>62</v>
      </c>
      <c r="L42" s="67" t="s">
        <v>63</v>
      </c>
      <c r="M42" s="38"/>
      <c r="N42" s="38"/>
      <c r="O42" s="38"/>
      <c r="P42" s="38"/>
      <c r="Q42" s="38"/>
      <c r="R42" s="38"/>
      <c r="S42" s="38"/>
      <c r="T42" s="39"/>
      <c r="U42" s="16"/>
      <c r="V42" s="3"/>
      <c r="W42" s="3"/>
      <c r="X42" s="3"/>
      <c r="Y42" s="3"/>
      <c r="Z42" s="3"/>
    </row>
    <row r="43" spans="1:26" ht="12" customHeight="1" x14ac:dyDescent="0.15">
      <c r="A43" s="68"/>
      <c r="B43" s="11"/>
      <c r="C43" s="3"/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15">
      <c r="A44" s="3"/>
      <c r="B44" s="11"/>
      <c r="C44" s="3"/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15">
      <c r="A45" s="3"/>
      <c r="B45" s="11"/>
      <c r="C45" s="3"/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15">
      <c r="A46" s="3"/>
      <c r="B46" s="11"/>
      <c r="C46" s="3"/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15">
      <c r="A47" s="3"/>
      <c r="B47" s="11"/>
      <c r="C47" s="3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15">
      <c r="A48" s="3"/>
      <c r="B48" s="11"/>
      <c r="C48" s="3"/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15">
      <c r="A49" s="3"/>
      <c r="B49" s="11"/>
      <c r="C49" s="3"/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15">
      <c r="A50" s="3"/>
      <c r="B50" s="11"/>
      <c r="C50" s="3"/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15">
      <c r="A51" s="3"/>
      <c r="B51" s="11"/>
      <c r="C51" s="3"/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15">
      <c r="A52" s="3"/>
      <c r="B52" s="11"/>
      <c r="C52" s="3"/>
      <c r="D52" s="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15">
      <c r="A53" s="3"/>
      <c r="B53" s="11"/>
      <c r="C53" s="3"/>
      <c r="D53" s="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15">
      <c r="A54" s="3"/>
      <c r="B54" s="11"/>
      <c r="C54" s="3"/>
      <c r="D54" s="4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15">
      <c r="A55" s="3"/>
      <c r="B55" s="11"/>
      <c r="C55" s="3"/>
      <c r="D55" s="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15">
      <c r="A56" s="3"/>
      <c r="B56" s="11"/>
      <c r="C56" s="3"/>
      <c r="D56" s="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15">
      <c r="A57" s="3"/>
      <c r="B57" s="11"/>
      <c r="C57" s="3"/>
      <c r="D57" s="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15">
      <c r="A58" s="3"/>
      <c r="B58" s="11"/>
      <c r="C58" s="3"/>
      <c r="D58" s="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15">
      <c r="A59" s="3"/>
      <c r="B59" s="11"/>
      <c r="C59" s="3"/>
      <c r="D59" s="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15">
      <c r="A60" s="3"/>
      <c r="B60" s="11"/>
      <c r="C60" s="3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15">
      <c r="A61" s="3"/>
      <c r="B61" s="11"/>
      <c r="C61" s="3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15">
      <c r="A62" s="3"/>
      <c r="B62" s="11"/>
      <c r="C62" s="3"/>
      <c r="D62" s="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15">
      <c r="A63" s="3"/>
      <c r="B63" s="11"/>
      <c r="C63" s="3"/>
      <c r="D63" s="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15">
      <c r="A64" s="3"/>
      <c r="B64" s="11"/>
      <c r="C64" s="3"/>
      <c r="D64" s="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15">
      <c r="A65" s="3"/>
      <c r="B65" s="11"/>
      <c r="C65" s="3"/>
      <c r="D65" s="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15">
      <c r="A66" s="3"/>
      <c r="B66" s="11"/>
      <c r="C66" s="3"/>
      <c r="D66" s="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15">
      <c r="A67" s="3"/>
      <c r="B67" s="11"/>
      <c r="C67" s="3"/>
      <c r="D67" s="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15">
      <c r="A68" s="3"/>
      <c r="B68" s="11"/>
      <c r="C68" s="3"/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15">
      <c r="A69" s="3"/>
      <c r="B69" s="11"/>
      <c r="C69" s="3"/>
      <c r="D69" s="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15">
      <c r="A70" s="3"/>
      <c r="B70" s="11"/>
      <c r="C70" s="3"/>
      <c r="D70" s="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15">
      <c r="A71" s="3"/>
      <c r="B71" s="11"/>
      <c r="C71" s="3"/>
      <c r="D71" s="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15">
      <c r="A72" s="3"/>
      <c r="B72" s="11"/>
      <c r="C72" s="3"/>
      <c r="D72" s="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15">
      <c r="A73" s="3"/>
      <c r="B73" s="11"/>
      <c r="C73" s="3"/>
      <c r="D73" s="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15">
      <c r="A74" s="3"/>
      <c r="B74" s="11"/>
      <c r="C74" s="3"/>
      <c r="D74" s="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15">
      <c r="A75" s="3"/>
      <c r="B75" s="11"/>
      <c r="C75" s="3"/>
      <c r="D75" s="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15">
      <c r="A76" s="3"/>
      <c r="B76" s="11"/>
      <c r="C76" s="3"/>
      <c r="D76" s="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15">
      <c r="A77" s="3"/>
      <c r="B77" s="11"/>
      <c r="C77" s="3"/>
      <c r="D77" s="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15">
      <c r="A78" s="3"/>
      <c r="B78" s="11"/>
      <c r="C78" s="3"/>
      <c r="D78" s="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15">
      <c r="A79" s="3"/>
      <c r="B79" s="11"/>
      <c r="C79" s="3"/>
      <c r="D79" s="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15">
      <c r="A80" s="3"/>
      <c r="B80" s="11"/>
      <c r="C80" s="3"/>
      <c r="D80" s="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15">
      <c r="A81" s="3"/>
      <c r="B81" s="11"/>
      <c r="C81" s="3"/>
      <c r="D81" s="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15">
      <c r="A82" s="3"/>
      <c r="B82" s="11"/>
      <c r="C82" s="3"/>
      <c r="D82" s="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15">
      <c r="A83" s="3"/>
      <c r="B83" s="11"/>
      <c r="C83" s="3"/>
      <c r="D83" s="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15">
      <c r="A84" s="3"/>
      <c r="B84" s="11"/>
      <c r="C84" s="3"/>
      <c r="D84" s="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15">
      <c r="A85" s="3"/>
      <c r="B85" s="11"/>
      <c r="C85" s="3"/>
      <c r="D85" s="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15">
      <c r="A86" s="3"/>
      <c r="B86" s="11"/>
      <c r="C86" s="3"/>
      <c r="D86" s="4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15">
      <c r="A87" s="3"/>
      <c r="B87" s="11"/>
      <c r="C87" s="3"/>
      <c r="D87" s="4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15">
      <c r="A88" s="3"/>
      <c r="B88" s="11"/>
      <c r="C88" s="3"/>
      <c r="D88" s="4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15">
      <c r="A89" s="3"/>
      <c r="B89" s="11"/>
      <c r="C89" s="3"/>
      <c r="D89" s="4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15">
      <c r="A90" s="3"/>
      <c r="B90" s="11"/>
      <c r="C90" s="3"/>
      <c r="D90" s="4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15">
      <c r="A91" s="3"/>
      <c r="B91" s="11"/>
      <c r="C91" s="3"/>
      <c r="D91" s="4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15">
      <c r="A92" s="3"/>
      <c r="B92" s="11"/>
      <c r="C92" s="3"/>
      <c r="D92" s="4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15">
      <c r="A93" s="3"/>
      <c r="B93" s="11"/>
      <c r="C93" s="3"/>
      <c r="D93" s="4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15">
      <c r="A94" s="3"/>
      <c r="B94" s="11"/>
      <c r="C94" s="3"/>
      <c r="D94" s="4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15">
      <c r="A95" s="3"/>
      <c r="B95" s="11"/>
      <c r="C95" s="3"/>
      <c r="D95" s="4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15">
      <c r="A96" s="3"/>
      <c r="B96" s="11"/>
      <c r="C96" s="3"/>
      <c r="D96" s="4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15">
      <c r="A97" s="3"/>
      <c r="B97" s="11"/>
      <c r="C97" s="3"/>
      <c r="D97" s="4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15">
      <c r="A98" s="3"/>
      <c r="B98" s="11"/>
      <c r="C98" s="3"/>
      <c r="D98" s="4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15">
      <c r="A99" s="3"/>
      <c r="B99" s="11"/>
      <c r="C99" s="3"/>
      <c r="D99" s="4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15">
      <c r="A100" s="3"/>
      <c r="B100" s="11"/>
      <c r="C100" s="3"/>
      <c r="D100" s="4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15">
      <c r="A101" s="3"/>
      <c r="B101" s="11"/>
      <c r="C101" s="3"/>
      <c r="D101" s="4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15">
      <c r="A102" s="3"/>
      <c r="B102" s="11"/>
      <c r="C102" s="3"/>
      <c r="D102" s="4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15">
      <c r="A103" s="3"/>
      <c r="B103" s="11"/>
      <c r="C103" s="3"/>
      <c r="D103" s="4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15">
      <c r="A104" s="3"/>
      <c r="B104" s="11"/>
      <c r="C104" s="3"/>
      <c r="D104" s="4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15">
      <c r="A105" s="3"/>
      <c r="B105" s="11"/>
      <c r="C105" s="3"/>
      <c r="D105" s="4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15">
      <c r="A106" s="3"/>
      <c r="B106" s="11"/>
      <c r="C106" s="3"/>
      <c r="D106" s="4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15">
      <c r="A107" s="3"/>
      <c r="B107" s="11"/>
      <c r="C107" s="3"/>
      <c r="D107" s="4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15">
      <c r="A108" s="3"/>
      <c r="B108" s="11"/>
      <c r="C108" s="3"/>
      <c r="D108" s="4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15">
      <c r="A109" s="3"/>
      <c r="B109" s="11"/>
      <c r="C109" s="3"/>
      <c r="D109" s="4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15">
      <c r="A110" s="3"/>
      <c r="B110" s="11"/>
      <c r="C110" s="3"/>
      <c r="D110" s="4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15">
      <c r="A111" s="3"/>
      <c r="B111" s="11"/>
      <c r="C111" s="3"/>
      <c r="D111" s="4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15">
      <c r="A112" s="3"/>
      <c r="B112" s="11"/>
      <c r="C112" s="3"/>
      <c r="D112" s="4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15">
      <c r="A113" s="3"/>
      <c r="B113" s="11"/>
      <c r="C113" s="3"/>
      <c r="D113" s="4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15">
      <c r="A114" s="3"/>
      <c r="B114" s="11"/>
      <c r="C114" s="3"/>
      <c r="D114" s="4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15">
      <c r="A115" s="3"/>
      <c r="B115" s="11"/>
      <c r="C115" s="3"/>
      <c r="D115" s="4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15">
      <c r="A116" s="3"/>
      <c r="B116" s="11"/>
      <c r="C116" s="3"/>
      <c r="D116" s="4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15">
      <c r="A117" s="3"/>
      <c r="B117" s="11"/>
      <c r="C117" s="3"/>
      <c r="D117" s="4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15">
      <c r="A118" s="3"/>
      <c r="B118" s="11"/>
      <c r="C118" s="3"/>
      <c r="D118" s="4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15">
      <c r="A119" s="3"/>
      <c r="B119" s="11"/>
      <c r="C119" s="3"/>
      <c r="D119" s="4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15">
      <c r="A120" s="3"/>
      <c r="B120" s="11"/>
      <c r="C120" s="3"/>
      <c r="D120" s="4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15">
      <c r="A121" s="3"/>
      <c r="B121" s="11"/>
      <c r="C121" s="3"/>
      <c r="D121" s="4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15">
      <c r="A122" s="3"/>
      <c r="B122" s="11"/>
      <c r="C122" s="3"/>
      <c r="D122" s="4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15">
      <c r="A123" s="3"/>
      <c r="B123" s="11"/>
      <c r="C123" s="3"/>
      <c r="D123" s="4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15">
      <c r="A124" s="3"/>
      <c r="B124" s="11"/>
      <c r="C124" s="3"/>
      <c r="D124" s="4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15">
      <c r="A125" s="3"/>
      <c r="B125" s="11"/>
      <c r="C125" s="3"/>
      <c r="D125" s="4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15">
      <c r="A126" s="3"/>
      <c r="B126" s="11"/>
      <c r="C126" s="3"/>
      <c r="D126" s="4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15">
      <c r="A127" s="3"/>
      <c r="B127" s="11"/>
      <c r="C127" s="3"/>
      <c r="D127" s="4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15">
      <c r="A128" s="3"/>
      <c r="B128" s="11"/>
      <c r="C128" s="3"/>
      <c r="D128" s="4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15">
      <c r="A129" s="3"/>
      <c r="B129" s="11"/>
      <c r="C129" s="3"/>
      <c r="D129" s="4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15">
      <c r="A130" s="3"/>
      <c r="B130" s="11"/>
      <c r="C130" s="3"/>
      <c r="D130" s="4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15">
      <c r="A131" s="3"/>
      <c r="B131" s="11"/>
      <c r="C131" s="3"/>
      <c r="D131" s="4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15">
      <c r="A132" s="3"/>
      <c r="B132" s="11"/>
      <c r="C132" s="3"/>
      <c r="D132" s="4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15">
      <c r="A133" s="3"/>
      <c r="B133" s="11"/>
      <c r="C133" s="3"/>
      <c r="D133" s="4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15">
      <c r="A134" s="3"/>
      <c r="B134" s="11"/>
      <c r="C134" s="3"/>
      <c r="D134" s="4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15">
      <c r="A135" s="3"/>
      <c r="B135" s="11"/>
      <c r="C135" s="3"/>
      <c r="D135" s="4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15">
      <c r="A136" s="3"/>
      <c r="B136" s="11"/>
      <c r="C136" s="3"/>
      <c r="D136" s="4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 customHeight="1" x14ac:dyDescent="0.15">
      <c r="A137" s="3"/>
      <c r="B137" s="11"/>
      <c r="C137" s="3"/>
      <c r="D137" s="4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15">
      <c r="A138" s="3"/>
      <c r="B138" s="11"/>
      <c r="C138" s="3"/>
      <c r="D138" s="4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15">
      <c r="A139" s="3"/>
      <c r="B139" s="11"/>
      <c r="C139" s="3"/>
      <c r="D139" s="4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15">
      <c r="A140" s="3"/>
      <c r="B140" s="11"/>
      <c r="C140" s="3"/>
      <c r="D140" s="4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15">
      <c r="A141" s="3"/>
      <c r="B141" s="11"/>
      <c r="C141" s="3"/>
      <c r="D141" s="4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15">
      <c r="A142" s="3"/>
      <c r="B142" s="11"/>
      <c r="C142" s="3"/>
      <c r="D142" s="4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15">
      <c r="A143" s="3"/>
      <c r="B143" s="11"/>
      <c r="C143" s="3"/>
      <c r="D143" s="4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15">
      <c r="A144" s="3"/>
      <c r="B144" s="11"/>
      <c r="C144" s="3"/>
      <c r="D144" s="4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15">
      <c r="A145" s="3"/>
      <c r="B145" s="11"/>
      <c r="C145" s="3"/>
      <c r="D145" s="4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15">
      <c r="A146" s="3"/>
      <c r="B146" s="11"/>
      <c r="C146" s="3"/>
      <c r="D146" s="4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15">
      <c r="A147" s="3"/>
      <c r="B147" s="11"/>
      <c r="C147" s="3"/>
      <c r="D147" s="4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15">
      <c r="A148" s="3"/>
      <c r="B148" s="11"/>
      <c r="C148" s="3"/>
      <c r="D148" s="4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 customHeight="1" x14ac:dyDescent="0.15">
      <c r="A149" s="3"/>
      <c r="B149" s="11"/>
      <c r="C149" s="3"/>
      <c r="D149" s="4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 customHeight="1" x14ac:dyDescent="0.15">
      <c r="A150" s="3"/>
      <c r="B150" s="11"/>
      <c r="C150" s="3"/>
      <c r="D150" s="4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 customHeight="1" x14ac:dyDescent="0.15">
      <c r="A151" s="3"/>
      <c r="B151" s="11"/>
      <c r="C151" s="3"/>
      <c r="D151" s="4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 customHeight="1" x14ac:dyDescent="0.15">
      <c r="A152" s="3"/>
      <c r="B152" s="11"/>
      <c r="C152" s="3"/>
      <c r="D152" s="4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 customHeight="1" x14ac:dyDescent="0.15">
      <c r="A153" s="3"/>
      <c r="B153" s="11"/>
      <c r="C153" s="3"/>
      <c r="D153" s="4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 customHeight="1" x14ac:dyDescent="0.15">
      <c r="A154" s="3"/>
      <c r="B154" s="11"/>
      <c r="C154" s="3"/>
      <c r="D154" s="4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 customHeight="1" x14ac:dyDescent="0.15">
      <c r="A155" s="3"/>
      <c r="B155" s="11"/>
      <c r="C155" s="3"/>
      <c r="D155" s="4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 customHeight="1" x14ac:dyDescent="0.15">
      <c r="A156" s="3"/>
      <c r="B156" s="11"/>
      <c r="C156" s="3"/>
      <c r="D156" s="4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 customHeight="1" x14ac:dyDescent="0.15">
      <c r="A157" s="3"/>
      <c r="B157" s="11"/>
      <c r="C157" s="3"/>
      <c r="D157" s="4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 customHeight="1" x14ac:dyDescent="0.15">
      <c r="A158" s="3"/>
      <c r="B158" s="11"/>
      <c r="C158" s="3"/>
      <c r="D158" s="4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 customHeight="1" x14ac:dyDescent="0.15">
      <c r="A159" s="3"/>
      <c r="B159" s="11"/>
      <c r="C159" s="3"/>
      <c r="D159" s="4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 customHeight="1" x14ac:dyDescent="0.15">
      <c r="A160" s="3"/>
      <c r="B160" s="11"/>
      <c r="C160" s="3"/>
      <c r="D160" s="4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 customHeight="1" x14ac:dyDescent="0.15">
      <c r="A161" s="3"/>
      <c r="B161" s="11"/>
      <c r="C161" s="3"/>
      <c r="D161" s="4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 customHeight="1" x14ac:dyDescent="0.15">
      <c r="A162" s="3"/>
      <c r="B162" s="11"/>
      <c r="C162" s="3"/>
      <c r="D162" s="4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 customHeight="1" x14ac:dyDescent="0.15">
      <c r="A163" s="3"/>
      <c r="B163" s="11"/>
      <c r="C163" s="3"/>
      <c r="D163" s="4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 customHeight="1" x14ac:dyDescent="0.15">
      <c r="A164" s="3"/>
      <c r="B164" s="11"/>
      <c r="C164" s="3"/>
      <c r="D164" s="4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 x14ac:dyDescent="0.15">
      <c r="A165" s="3"/>
      <c r="B165" s="11"/>
      <c r="C165" s="3"/>
      <c r="D165" s="4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 x14ac:dyDescent="0.15">
      <c r="A166" s="3"/>
      <c r="B166" s="11"/>
      <c r="C166" s="3"/>
      <c r="D166" s="4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 x14ac:dyDescent="0.15">
      <c r="A167" s="3"/>
      <c r="B167" s="11"/>
      <c r="C167" s="3"/>
      <c r="D167" s="4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 x14ac:dyDescent="0.15">
      <c r="A168" s="3"/>
      <c r="B168" s="11"/>
      <c r="C168" s="3"/>
      <c r="D168" s="4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 x14ac:dyDescent="0.15">
      <c r="A169" s="3"/>
      <c r="B169" s="11"/>
      <c r="C169" s="3"/>
      <c r="D169" s="4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 x14ac:dyDescent="0.15">
      <c r="A170" s="3"/>
      <c r="B170" s="11"/>
      <c r="C170" s="3"/>
      <c r="D170" s="4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 x14ac:dyDescent="0.15">
      <c r="A171" s="3"/>
      <c r="B171" s="11"/>
      <c r="C171" s="3"/>
      <c r="D171" s="4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 x14ac:dyDescent="0.15">
      <c r="A172" s="3"/>
      <c r="B172" s="11"/>
      <c r="C172" s="3"/>
      <c r="D172" s="4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 x14ac:dyDescent="0.15">
      <c r="A173" s="3"/>
      <c r="B173" s="11"/>
      <c r="C173" s="3"/>
      <c r="D173" s="4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 x14ac:dyDescent="0.15">
      <c r="A174" s="3"/>
      <c r="B174" s="11"/>
      <c r="C174" s="3"/>
      <c r="D174" s="4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 x14ac:dyDescent="0.15">
      <c r="A175" s="3"/>
      <c r="B175" s="11"/>
      <c r="C175" s="3"/>
      <c r="D175" s="4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 x14ac:dyDescent="0.15">
      <c r="A176" s="3"/>
      <c r="B176" s="11"/>
      <c r="C176" s="3"/>
      <c r="D176" s="4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 x14ac:dyDescent="0.15">
      <c r="A177" s="3"/>
      <c r="B177" s="11"/>
      <c r="C177" s="3"/>
      <c r="D177" s="4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 x14ac:dyDescent="0.15">
      <c r="A178" s="3"/>
      <c r="B178" s="11"/>
      <c r="C178" s="3"/>
      <c r="D178" s="4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 x14ac:dyDescent="0.15">
      <c r="A179" s="3"/>
      <c r="B179" s="11"/>
      <c r="C179" s="3"/>
      <c r="D179" s="4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 x14ac:dyDescent="0.15">
      <c r="A180" s="3"/>
      <c r="B180" s="11"/>
      <c r="C180" s="3"/>
      <c r="D180" s="4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 x14ac:dyDescent="0.15">
      <c r="A181" s="3"/>
      <c r="B181" s="11"/>
      <c r="C181" s="3"/>
      <c r="D181" s="4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 x14ac:dyDescent="0.15">
      <c r="A182" s="3"/>
      <c r="B182" s="11"/>
      <c r="C182" s="3"/>
      <c r="D182" s="4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 x14ac:dyDescent="0.15">
      <c r="A183" s="3"/>
      <c r="B183" s="11"/>
      <c r="C183" s="3"/>
      <c r="D183" s="4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 x14ac:dyDescent="0.15">
      <c r="A184" s="3"/>
      <c r="B184" s="11"/>
      <c r="C184" s="3"/>
      <c r="D184" s="4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 x14ac:dyDescent="0.15">
      <c r="A185" s="3"/>
      <c r="B185" s="11"/>
      <c r="C185" s="3"/>
      <c r="D185" s="4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 x14ac:dyDescent="0.15">
      <c r="A186" s="3"/>
      <c r="B186" s="11"/>
      <c r="C186" s="3"/>
      <c r="D186" s="4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 x14ac:dyDescent="0.15">
      <c r="A187" s="3"/>
      <c r="B187" s="11"/>
      <c r="C187" s="3"/>
      <c r="D187" s="4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 x14ac:dyDescent="0.15">
      <c r="A188" s="3"/>
      <c r="B188" s="11"/>
      <c r="C188" s="3"/>
      <c r="D188" s="4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 x14ac:dyDescent="0.15">
      <c r="A189" s="3"/>
      <c r="B189" s="11"/>
      <c r="C189" s="3"/>
      <c r="D189" s="4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 x14ac:dyDescent="0.15">
      <c r="A190" s="3"/>
      <c r="B190" s="11"/>
      <c r="C190" s="3"/>
      <c r="D190" s="4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 x14ac:dyDescent="0.15">
      <c r="A191" s="3"/>
      <c r="B191" s="11"/>
      <c r="C191" s="3"/>
      <c r="D191" s="4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 x14ac:dyDescent="0.15">
      <c r="A192" s="3"/>
      <c r="B192" s="11"/>
      <c r="C192" s="3"/>
      <c r="D192" s="4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 x14ac:dyDescent="0.15">
      <c r="A193" s="3"/>
      <c r="B193" s="11"/>
      <c r="C193" s="3"/>
      <c r="D193" s="4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 x14ac:dyDescent="0.15">
      <c r="A194" s="3"/>
      <c r="B194" s="11"/>
      <c r="C194" s="3"/>
      <c r="D194" s="4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 x14ac:dyDescent="0.15">
      <c r="A195" s="3"/>
      <c r="B195" s="11"/>
      <c r="C195" s="3"/>
      <c r="D195" s="4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 x14ac:dyDescent="0.15">
      <c r="A196" s="3"/>
      <c r="B196" s="11"/>
      <c r="C196" s="3"/>
      <c r="D196" s="4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 x14ac:dyDescent="0.15">
      <c r="A197" s="3"/>
      <c r="B197" s="11"/>
      <c r="C197" s="3"/>
      <c r="D197" s="4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 x14ac:dyDescent="0.15">
      <c r="A198" s="3"/>
      <c r="B198" s="11"/>
      <c r="C198" s="3"/>
      <c r="D198" s="4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 x14ac:dyDescent="0.15">
      <c r="A199" s="3"/>
      <c r="B199" s="11"/>
      <c r="C199" s="3"/>
      <c r="D199" s="4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 x14ac:dyDescent="0.15">
      <c r="A200" s="3"/>
      <c r="B200" s="11"/>
      <c r="C200" s="3"/>
      <c r="D200" s="4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 x14ac:dyDescent="0.15">
      <c r="A201" s="3"/>
      <c r="B201" s="11"/>
      <c r="C201" s="3"/>
      <c r="D201" s="4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 x14ac:dyDescent="0.15">
      <c r="A202" s="3"/>
      <c r="B202" s="11"/>
      <c r="C202" s="3"/>
      <c r="D202" s="4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 x14ac:dyDescent="0.15">
      <c r="A203" s="3"/>
      <c r="B203" s="11"/>
      <c r="C203" s="3"/>
      <c r="D203" s="4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 x14ac:dyDescent="0.15">
      <c r="A204" s="3"/>
      <c r="B204" s="11"/>
      <c r="C204" s="3"/>
      <c r="D204" s="4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 x14ac:dyDescent="0.15">
      <c r="A205" s="3"/>
      <c r="B205" s="11"/>
      <c r="C205" s="3"/>
      <c r="D205" s="4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 x14ac:dyDescent="0.15">
      <c r="A206" s="3"/>
      <c r="B206" s="11"/>
      <c r="C206" s="3"/>
      <c r="D206" s="4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 x14ac:dyDescent="0.15">
      <c r="A207" s="3"/>
      <c r="B207" s="11"/>
      <c r="C207" s="3"/>
      <c r="D207" s="4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 x14ac:dyDescent="0.15">
      <c r="A208" s="3"/>
      <c r="B208" s="11"/>
      <c r="C208" s="3"/>
      <c r="D208" s="4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 x14ac:dyDescent="0.15">
      <c r="A209" s="3"/>
      <c r="B209" s="11"/>
      <c r="C209" s="3"/>
      <c r="D209" s="4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 x14ac:dyDescent="0.15">
      <c r="A210" s="3"/>
      <c r="B210" s="11"/>
      <c r="C210" s="3"/>
      <c r="D210" s="4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 x14ac:dyDescent="0.15">
      <c r="A211" s="3"/>
      <c r="B211" s="11"/>
      <c r="C211" s="3"/>
      <c r="D211" s="4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 x14ac:dyDescent="0.15">
      <c r="A212" s="3"/>
      <c r="B212" s="11"/>
      <c r="C212" s="3"/>
      <c r="D212" s="4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 x14ac:dyDescent="0.15">
      <c r="A213" s="3"/>
      <c r="B213" s="11"/>
      <c r="C213" s="3"/>
      <c r="D213" s="4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 x14ac:dyDescent="0.15">
      <c r="A214" s="3"/>
      <c r="B214" s="11"/>
      <c r="C214" s="3"/>
      <c r="D214" s="4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 x14ac:dyDescent="0.15">
      <c r="A215" s="3"/>
      <c r="B215" s="11"/>
      <c r="C215" s="3"/>
      <c r="D215" s="4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 x14ac:dyDescent="0.15">
      <c r="A216" s="3"/>
      <c r="B216" s="11"/>
      <c r="C216" s="3"/>
      <c r="D216" s="4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 x14ac:dyDescent="0.15">
      <c r="A217" s="3"/>
      <c r="B217" s="11"/>
      <c r="C217" s="3"/>
      <c r="D217" s="4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 x14ac:dyDescent="0.15">
      <c r="A218" s="3"/>
      <c r="B218" s="11"/>
      <c r="C218" s="3"/>
      <c r="D218" s="4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 x14ac:dyDescent="0.15">
      <c r="A219" s="3"/>
      <c r="B219" s="11"/>
      <c r="C219" s="3"/>
      <c r="D219" s="4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 x14ac:dyDescent="0.15">
      <c r="A220" s="3"/>
      <c r="B220" s="11"/>
      <c r="C220" s="3"/>
      <c r="D220" s="4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 x14ac:dyDescent="0.15">
      <c r="A221" s="3"/>
      <c r="B221" s="11"/>
      <c r="C221" s="3"/>
      <c r="D221" s="4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 x14ac:dyDescent="0.15">
      <c r="A222" s="3"/>
      <c r="B222" s="11"/>
      <c r="C222" s="3"/>
      <c r="D222" s="4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 x14ac:dyDescent="0.15">
      <c r="A223" s="3"/>
      <c r="B223" s="11"/>
      <c r="C223" s="3"/>
      <c r="D223" s="4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 x14ac:dyDescent="0.15">
      <c r="A224" s="3"/>
      <c r="B224" s="11"/>
      <c r="C224" s="3"/>
      <c r="D224" s="4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 x14ac:dyDescent="0.15">
      <c r="A225" s="3"/>
      <c r="B225" s="11"/>
      <c r="C225" s="3"/>
      <c r="D225" s="4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 x14ac:dyDescent="0.15">
      <c r="A226" s="3"/>
      <c r="B226" s="11"/>
      <c r="C226" s="3"/>
      <c r="D226" s="4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 x14ac:dyDescent="0.15">
      <c r="A227" s="3"/>
      <c r="B227" s="11"/>
      <c r="C227" s="3"/>
      <c r="D227" s="4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 x14ac:dyDescent="0.15">
      <c r="A228" s="3"/>
      <c r="B228" s="11"/>
      <c r="C228" s="3"/>
      <c r="D228" s="4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 x14ac:dyDescent="0.15">
      <c r="A229" s="3"/>
      <c r="B229" s="11"/>
      <c r="C229" s="3"/>
      <c r="D229" s="4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 x14ac:dyDescent="0.15">
      <c r="A230" s="3"/>
      <c r="B230" s="11"/>
      <c r="C230" s="3"/>
      <c r="D230" s="4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 x14ac:dyDescent="0.15">
      <c r="A231" s="3"/>
      <c r="B231" s="11"/>
      <c r="C231" s="3"/>
      <c r="D231" s="4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 x14ac:dyDescent="0.15">
      <c r="A232" s="3"/>
      <c r="B232" s="11"/>
      <c r="C232" s="3"/>
      <c r="D232" s="4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 x14ac:dyDescent="0.15">
      <c r="A233" s="3"/>
      <c r="B233" s="11"/>
      <c r="C233" s="3"/>
      <c r="D233" s="4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 x14ac:dyDescent="0.15">
      <c r="A234" s="3"/>
      <c r="B234" s="11"/>
      <c r="C234" s="3"/>
      <c r="D234" s="4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 x14ac:dyDescent="0.15">
      <c r="A235" s="3"/>
      <c r="B235" s="11"/>
      <c r="C235" s="3"/>
      <c r="D235" s="4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 x14ac:dyDescent="0.15">
      <c r="A236" s="3"/>
      <c r="B236" s="11"/>
      <c r="C236" s="3"/>
      <c r="D236" s="4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 x14ac:dyDescent="0.15">
      <c r="A237" s="3"/>
      <c r="B237" s="11"/>
      <c r="C237" s="3"/>
      <c r="D237" s="4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 x14ac:dyDescent="0.15">
      <c r="A238" s="3"/>
      <c r="B238" s="11"/>
      <c r="C238" s="3"/>
      <c r="D238" s="4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 x14ac:dyDescent="0.15">
      <c r="A239" s="3"/>
      <c r="B239" s="11"/>
      <c r="C239" s="3"/>
      <c r="D239" s="4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 x14ac:dyDescent="0.15">
      <c r="A240" s="3"/>
      <c r="B240" s="11"/>
      <c r="C240" s="3"/>
      <c r="D240" s="4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 x14ac:dyDescent="0.15">
      <c r="A241" s="3"/>
      <c r="B241" s="11"/>
      <c r="C241" s="3"/>
      <c r="D241" s="4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 x14ac:dyDescent="0.15">
      <c r="A242" s="3"/>
      <c r="B242" s="11"/>
      <c r="C242" s="3"/>
      <c r="D242" s="4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 x14ac:dyDescent="0.15">
      <c r="A243" s="3"/>
      <c r="B243" s="11"/>
      <c r="C243" s="3"/>
      <c r="D243" s="4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 x14ac:dyDescent="0.15">
      <c r="A244" s="3"/>
      <c r="B244" s="11"/>
      <c r="C244" s="3"/>
      <c r="D244" s="4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 x14ac:dyDescent="0.15">
      <c r="A245" s="3"/>
      <c r="B245" s="11"/>
      <c r="C245" s="3"/>
      <c r="D245" s="4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 x14ac:dyDescent="0.15">
      <c r="A246" s="3"/>
      <c r="B246" s="11"/>
      <c r="C246" s="3"/>
      <c r="D246" s="4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 x14ac:dyDescent="0.15">
      <c r="A247" s="3"/>
      <c r="B247" s="11"/>
      <c r="C247" s="3"/>
      <c r="D247" s="4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 x14ac:dyDescent="0.15">
      <c r="A248" s="3"/>
      <c r="B248" s="11"/>
      <c r="C248" s="3"/>
      <c r="D248" s="4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 x14ac:dyDescent="0.15">
      <c r="A249" s="3"/>
      <c r="B249" s="11"/>
      <c r="C249" s="3"/>
      <c r="D249" s="4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 x14ac:dyDescent="0.15">
      <c r="A250" s="3"/>
      <c r="B250" s="11"/>
      <c r="C250" s="3"/>
      <c r="D250" s="4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 x14ac:dyDescent="0.15">
      <c r="A251" s="3"/>
      <c r="B251" s="11"/>
      <c r="C251" s="3"/>
      <c r="D251" s="4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 x14ac:dyDescent="0.15">
      <c r="A252" s="3"/>
      <c r="B252" s="11"/>
      <c r="C252" s="3"/>
      <c r="D252" s="4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 x14ac:dyDescent="0.15">
      <c r="A253" s="3"/>
      <c r="B253" s="11"/>
      <c r="C253" s="3"/>
      <c r="D253" s="4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 x14ac:dyDescent="0.15">
      <c r="A254" s="3"/>
      <c r="B254" s="11"/>
      <c r="C254" s="3"/>
      <c r="D254" s="4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 x14ac:dyDescent="0.15">
      <c r="A255" s="3"/>
      <c r="B255" s="11"/>
      <c r="C255" s="3"/>
      <c r="D255" s="4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 x14ac:dyDescent="0.15">
      <c r="A256" s="3"/>
      <c r="B256" s="11"/>
      <c r="C256" s="3"/>
      <c r="D256" s="4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 x14ac:dyDescent="0.15">
      <c r="A257" s="3"/>
      <c r="B257" s="11"/>
      <c r="C257" s="3"/>
      <c r="D257" s="4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 x14ac:dyDescent="0.15">
      <c r="A258" s="3"/>
      <c r="B258" s="11"/>
      <c r="C258" s="3"/>
      <c r="D258" s="4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 x14ac:dyDescent="0.15">
      <c r="A259" s="3"/>
      <c r="B259" s="11"/>
      <c r="C259" s="3"/>
      <c r="D259" s="4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 x14ac:dyDescent="0.15">
      <c r="A260" s="3"/>
      <c r="B260" s="11"/>
      <c r="C260" s="3"/>
      <c r="D260" s="4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 x14ac:dyDescent="0.15">
      <c r="A261" s="3"/>
      <c r="B261" s="11"/>
      <c r="C261" s="3"/>
      <c r="D261" s="4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 x14ac:dyDescent="0.15">
      <c r="A262" s="3"/>
      <c r="B262" s="11"/>
      <c r="C262" s="3"/>
      <c r="D262" s="4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 x14ac:dyDescent="0.15">
      <c r="A263" s="3"/>
      <c r="B263" s="11"/>
      <c r="C263" s="3"/>
      <c r="D263" s="4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 x14ac:dyDescent="0.15">
      <c r="A264" s="3"/>
      <c r="B264" s="11"/>
      <c r="C264" s="3"/>
      <c r="D264" s="4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 x14ac:dyDescent="0.15">
      <c r="A265" s="3"/>
      <c r="B265" s="11"/>
      <c r="C265" s="3"/>
      <c r="D265" s="4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 x14ac:dyDescent="0.15">
      <c r="A266" s="3"/>
      <c r="B266" s="11"/>
      <c r="C266" s="3"/>
      <c r="D266" s="4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 x14ac:dyDescent="0.15">
      <c r="A267" s="3"/>
      <c r="B267" s="11"/>
      <c r="C267" s="3"/>
      <c r="D267" s="4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 x14ac:dyDescent="0.15">
      <c r="A268" s="3"/>
      <c r="B268" s="11"/>
      <c r="C268" s="3"/>
      <c r="D268" s="4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 x14ac:dyDescent="0.15">
      <c r="A269" s="3"/>
      <c r="B269" s="11"/>
      <c r="C269" s="3"/>
      <c r="D269" s="4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 x14ac:dyDescent="0.15">
      <c r="A270" s="3"/>
      <c r="B270" s="11"/>
      <c r="C270" s="3"/>
      <c r="D270" s="4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 x14ac:dyDescent="0.15">
      <c r="A271" s="3"/>
      <c r="B271" s="11"/>
      <c r="C271" s="3"/>
      <c r="D271" s="4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 x14ac:dyDescent="0.15">
      <c r="A272" s="3"/>
      <c r="B272" s="11"/>
      <c r="C272" s="3"/>
      <c r="D272" s="4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 x14ac:dyDescent="0.15">
      <c r="A273" s="3"/>
      <c r="B273" s="11"/>
      <c r="C273" s="3"/>
      <c r="D273" s="4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 x14ac:dyDescent="0.15">
      <c r="A274" s="3"/>
      <c r="B274" s="11"/>
      <c r="C274" s="3"/>
      <c r="D274" s="4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 x14ac:dyDescent="0.15">
      <c r="A275" s="3"/>
      <c r="B275" s="11"/>
      <c r="C275" s="3"/>
      <c r="D275" s="4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 x14ac:dyDescent="0.15">
      <c r="A276" s="3"/>
      <c r="B276" s="11"/>
      <c r="C276" s="3"/>
      <c r="D276" s="4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 x14ac:dyDescent="0.15">
      <c r="A277" s="3"/>
      <c r="B277" s="11"/>
      <c r="C277" s="3"/>
      <c r="D277" s="4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 x14ac:dyDescent="0.15">
      <c r="A278" s="3"/>
      <c r="B278" s="11"/>
      <c r="C278" s="3"/>
      <c r="D278" s="4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 x14ac:dyDescent="0.15">
      <c r="A279" s="3"/>
      <c r="B279" s="11"/>
      <c r="C279" s="3"/>
      <c r="D279" s="4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 x14ac:dyDescent="0.15">
      <c r="A280" s="3"/>
      <c r="B280" s="11"/>
      <c r="C280" s="3"/>
      <c r="D280" s="4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 x14ac:dyDescent="0.15">
      <c r="A281" s="3"/>
      <c r="B281" s="11"/>
      <c r="C281" s="3"/>
      <c r="D281" s="4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 x14ac:dyDescent="0.15">
      <c r="A282" s="3"/>
      <c r="B282" s="11"/>
      <c r="C282" s="3"/>
      <c r="D282" s="4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 x14ac:dyDescent="0.15">
      <c r="A283" s="3"/>
      <c r="B283" s="11"/>
      <c r="C283" s="3"/>
      <c r="D283" s="4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 x14ac:dyDescent="0.15">
      <c r="A284" s="3"/>
      <c r="B284" s="11"/>
      <c r="C284" s="3"/>
      <c r="D284" s="4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 x14ac:dyDescent="0.15">
      <c r="A285" s="3"/>
      <c r="B285" s="11"/>
      <c r="C285" s="3"/>
      <c r="D285" s="4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 x14ac:dyDescent="0.15">
      <c r="A286" s="3"/>
      <c r="B286" s="11"/>
      <c r="C286" s="3"/>
      <c r="D286" s="4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 x14ac:dyDescent="0.15">
      <c r="A287" s="3"/>
      <c r="B287" s="11"/>
      <c r="C287" s="3"/>
      <c r="D287" s="4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 x14ac:dyDescent="0.15">
      <c r="A288" s="3"/>
      <c r="B288" s="11"/>
      <c r="C288" s="3"/>
      <c r="D288" s="4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 x14ac:dyDescent="0.15">
      <c r="A289" s="3"/>
      <c r="B289" s="11"/>
      <c r="C289" s="3"/>
      <c r="D289" s="4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 x14ac:dyDescent="0.15">
      <c r="A290" s="3"/>
      <c r="B290" s="11"/>
      <c r="C290" s="3"/>
      <c r="D290" s="4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 x14ac:dyDescent="0.15">
      <c r="A291" s="3"/>
      <c r="B291" s="11"/>
      <c r="C291" s="3"/>
      <c r="D291" s="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 x14ac:dyDescent="0.15">
      <c r="A292" s="3"/>
      <c r="B292" s="11"/>
      <c r="C292" s="3"/>
      <c r="D292" s="4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 x14ac:dyDescent="0.15">
      <c r="A293" s="3"/>
      <c r="B293" s="11"/>
      <c r="C293" s="3"/>
      <c r="D293" s="4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 x14ac:dyDescent="0.15">
      <c r="A294" s="3"/>
      <c r="B294" s="11"/>
      <c r="C294" s="3"/>
      <c r="D294" s="4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 x14ac:dyDescent="0.15">
      <c r="A295" s="3"/>
      <c r="B295" s="11"/>
      <c r="C295" s="3"/>
      <c r="D295" s="4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 x14ac:dyDescent="0.15">
      <c r="A296" s="3"/>
      <c r="B296" s="11"/>
      <c r="C296" s="3"/>
      <c r="D296" s="4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 x14ac:dyDescent="0.15">
      <c r="A297" s="3"/>
      <c r="B297" s="11"/>
      <c r="C297" s="3"/>
      <c r="D297" s="4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 x14ac:dyDescent="0.15">
      <c r="A298" s="3"/>
      <c r="B298" s="11"/>
      <c r="C298" s="3"/>
      <c r="D298" s="4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 x14ac:dyDescent="0.15">
      <c r="A299" s="3"/>
      <c r="B299" s="11"/>
      <c r="C299" s="3"/>
      <c r="D299" s="4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 x14ac:dyDescent="0.15">
      <c r="A300" s="3"/>
      <c r="B300" s="11"/>
      <c r="C300" s="3"/>
      <c r="D300" s="4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 x14ac:dyDescent="0.15">
      <c r="A301" s="3"/>
      <c r="B301" s="11"/>
      <c r="C301" s="3"/>
      <c r="D301" s="4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 x14ac:dyDescent="0.15">
      <c r="A302" s="3"/>
      <c r="B302" s="11"/>
      <c r="C302" s="3"/>
      <c r="D302" s="4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 x14ac:dyDescent="0.15">
      <c r="A303" s="3"/>
      <c r="B303" s="11"/>
      <c r="C303" s="3"/>
      <c r="D303" s="4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 x14ac:dyDescent="0.15">
      <c r="A304" s="3"/>
      <c r="B304" s="11"/>
      <c r="C304" s="3"/>
      <c r="D304" s="4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 x14ac:dyDescent="0.15">
      <c r="A305" s="3"/>
      <c r="B305" s="11"/>
      <c r="C305" s="3"/>
      <c r="D305" s="4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 x14ac:dyDescent="0.15">
      <c r="A306" s="3"/>
      <c r="B306" s="11"/>
      <c r="C306" s="3"/>
      <c r="D306" s="4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 x14ac:dyDescent="0.15">
      <c r="A307" s="3"/>
      <c r="B307" s="11"/>
      <c r="C307" s="3"/>
      <c r="D307" s="4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 x14ac:dyDescent="0.15">
      <c r="A308" s="3"/>
      <c r="B308" s="11"/>
      <c r="C308" s="3"/>
      <c r="D308" s="4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 x14ac:dyDescent="0.15">
      <c r="A309" s="3"/>
      <c r="B309" s="11"/>
      <c r="C309" s="3"/>
      <c r="D309" s="4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 x14ac:dyDescent="0.15">
      <c r="A310" s="3"/>
      <c r="B310" s="11"/>
      <c r="C310" s="3"/>
      <c r="D310" s="4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 x14ac:dyDescent="0.15">
      <c r="A311" s="3"/>
      <c r="B311" s="11"/>
      <c r="C311" s="3"/>
      <c r="D311" s="4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 x14ac:dyDescent="0.15">
      <c r="A312" s="3"/>
      <c r="B312" s="11"/>
      <c r="C312" s="3"/>
      <c r="D312" s="4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 x14ac:dyDescent="0.15">
      <c r="A313" s="3"/>
      <c r="B313" s="11"/>
      <c r="C313" s="3"/>
      <c r="D313" s="4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 x14ac:dyDescent="0.15">
      <c r="A314" s="3"/>
      <c r="B314" s="11"/>
      <c r="C314" s="3"/>
      <c r="D314" s="4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 x14ac:dyDescent="0.15">
      <c r="A315" s="3"/>
      <c r="B315" s="11"/>
      <c r="C315" s="3"/>
      <c r="D315" s="4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 x14ac:dyDescent="0.15">
      <c r="A316" s="3"/>
      <c r="B316" s="11"/>
      <c r="C316" s="3"/>
      <c r="D316" s="4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 x14ac:dyDescent="0.15">
      <c r="A317" s="3"/>
      <c r="B317" s="11"/>
      <c r="C317" s="3"/>
      <c r="D317" s="4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 x14ac:dyDescent="0.15">
      <c r="A318" s="3"/>
      <c r="B318" s="11"/>
      <c r="C318" s="3"/>
      <c r="D318" s="4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 x14ac:dyDescent="0.15">
      <c r="A319" s="3"/>
      <c r="B319" s="11"/>
      <c r="C319" s="3"/>
      <c r="D319" s="4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 x14ac:dyDescent="0.15">
      <c r="A320" s="3"/>
      <c r="B320" s="11"/>
      <c r="C320" s="3"/>
      <c r="D320" s="4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 x14ac:dyDescent="0.15">
      <c r="A321" s="3"/>
      <c r="B321" s="11"/>
      <c r="C321" s="3"/>
      <c r="D321" s="4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 x14ac:dyDescent="0.15">
      <c r="A322" s="3"/>
      <c r="B322" s="11"/>
      <c r="C322" s="3"/>
      <c r="D322" s="4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 x14ac:dyDescent="0.15">
      <c r="A323" s="3"/>
      <c r="B323" s="11"/>
      <c r="C323" s="3"/>
      <c r="D323" s="4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 x14ac:dyDescent="0.15">
      <c r="A324" s="3"/>
      <c r="B324" s="11"/>
      <c r="C324" s="3"/>
      <c r="D324" s="4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 x14ac:dyDescent="0.15">
      <c r="A325" s="3"/>
      <c r="B325" s="11"/>
      <c r="C325" s="3"/>
      <c r="D325" s="4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 x14ac:dyDescent="0.15">
      <c r="A326" s="3"/>
      <c r="B326" s="11"/>
      <c r="C326" s="3"/>
      <c r="D326" s="4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 x14ac:dyDescent="0.15">
      <c r="A327" s="3"/>
      <c r="B327" s="11"/>
      <c r="C327" s="3"/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 x14ac:dyDescent="0.15">
      <c r="A328" s="3"/>
      <c r="B328" s="11"/>
      <c r="C328" s="3"/>
      <c r="D328" s="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 x14ac:dyDescent="0.15">
      <c r="A329" s="3"/>
      <c r="B329" s="11"/>
      <c r="C329" s="3"/>
      <c r="D329" s="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 x14ac:dyDescent="0.15">
      <c r="A330" s="3"/>
      <c r="B330" s="11"/>
      <c r="C330" s="3"/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 x14ac:dyDescent="0.15">
      <c r="A331" s="3"/>
      <c r="B331" s="11"/>
      <c r="C331" s="3"/>
      <c r="D331" s="4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 x14ac:dyDescent="0.15">
      <c r="A332" s="3"/>
      <c r="B332" s="11"/>
      <c r="C332" s="3"/>
      <c r="D332" s="4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 x14ac:dyDescent="0.15">
      <c r="A333" s="3"/>
      <c r="B333" s="11"/>
      <c r="C333" s="3"/>
      <c r="D333" s="4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 x14ac:dyDescent="0.15">
      <c r="A334" s="3"/>
      <c r="B334" s="11"/>
      <c r="C334" s="3"/>
      <c r="D334" s="4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 x14ac:dyDescent="0.15">
      <c r="A335" s="3"/>
      <c r="B335" s="11"/>
      <c r="C335" s="3"/>
      <c r="D335" s="4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 x14ac:dyDescent="0.15">
      <c r="A336" s="3"/>
      <c r="B336" s="11"/>
      <c r="C336" s="3"/>
      <c r="D336" s="4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 x14ac:dyDescent="0.15">
      <c r="A337" s="3"/>
      <c r="B337" s="11"/>
      <c r="C337" s="3"/>
      <c r="D337" s="4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 x14ac:dyDescent="0.15">
      <c r="A338" s="3"/>
      <c r="B338" s="11"/>
      <c r="C338" s="3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 x14ac:dyDescent="0.15">
      <c r="A339" s="3"/>
      <c r="B339" s="11"/>
      <c r="C339" s="3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 x14ac:dyDescent="0.15">
      <c r="A340" s="3"/>
      <c r="B340" s="11"/>
      <c r="C340" s="3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 x14ac:dyDescent="0.15">
      <c r="A341" s="3"/>
      <c r="B341" s="11"/>
      <c r="C341" s="3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 x14ac:dyDescent="0.15">
      <c r="A342" s="3"/>
      <c r="B342" s="11"/>
      <c r="C342" s="3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 x14ac:dyDescent="0.15">
      <c r="A343" s="3"/>
      <c r="B343" s="11"/>
      <c r="C343" s="3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 x14ac:dyDescent="0.15">
      <c r="A344" s="3"/>
      <c r="B344" s="11"/>
      <c r="C344" s="3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 x14ac:dyDescent="0.15">
      <c r="A345" s="3"/>
      <c r="B345" s="11"/>
      <c r="C345" s="3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 x14ac:dyDescent="0.15">
      <c r="A346" s="3"/>
      <c r="B346" s="11"/>
      <c r="C346" s="3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 x14ac:dyDescent="0.15">
      <c r="A347" s="3"/>
      <c r="B347" s="11"/>
      <c r="C347" s="3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 x14ac:dyDescent="0.15">
      <c r="A348" s="3"/>
      <c r="B348" s="11"/>
      <c r="C348" s="3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 x14ac:dyDescent="0.15">
      <c r="A349" s="3"/>
      <c r="B349" s="11"/>
      <c r="C349" s="3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 x14ac:dyDescent="0.15">
      <c r="A350" s="3"/>
      <c r="B350" s="11"/>
      <c r="C350" s="3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 x14ac:dyDescent="0.15">
      <c r="A351" s="3"/>
      <c r="B351" s="11"/>
      <c r="C351" s="3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 x14ac:dyDescent="0.15">
      <c r="A352" s="3"/>
      <c r="B352" s="11"/>
      <c r="C352" s="3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 x14ac:dyDescent="0.15">
      <c r="A353" s="3"/>
      <c r="B353" s="11"/>
      <c r="C353" s="3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 x14ac:dyDescent="0.15">
      <c r="A354" s="3"/>
      <c r="B354" s="11"/>
      <c r="C354" s="3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 x14ac:dyDescent="0.15">
      <c r="A355" s="3"/>
      <c r="B355" s="11"/>
      <c r="C355" s="3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 x14ac:dyDescent="0.15">
      <c r="A356" s="3"/>
      <c r="B356" s="11"/>
      <c r="C356" s="3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 x14ac:dyDescent="0.15">
      <c r="A357" s="3"/>
      <c r="B357" s="11"/>
      <c r="C357" s="3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 x14ac:dyDescent="0.15">
      <c r="A358" s="3"/>
      <c r="B358" s="11"/>
      <c r="C358" s="3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 x14ac:dyDescent="0.15">
      <c r="A359" s="3"/>
      <c r="B359" s="11"/>
      <c r="C359" s="3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 x14ac:dyDescent="0.15">
      <c r="A360" s="3"/>
      <c r="B360" s="11"/>
      <c r="C360" s="3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 x14ac:dyDescent="0.15">
      <c r="A361" s="3"/>
      <c r="B361" s="11"/>
      <c r="C361" s="3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 x14ac:dyDescent="0.15">
      <c r="A362" s="3"/>
      <c r="B362" s="11"/>
      <c r="C362" s="3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 x14ac:dyDescent="0.15">
      <c r="A363" s="3"/>
      <c r="B363" s="11"/>
      <c r="C363" s="3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 x14ac:dyDescent="0.15">
      <c r="A364" s="3"/>
      <c r="B364" s="11"/>
      <c r="C364" s="3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 x14ac:dyDescent="0.15">
      <c r="A365" s="3"/>
      <c r="B365" s="11"/>
      <c r="C365" s="3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 x14ac:dyDescent="0.15">
      <c r="A366" s="3"/>
      <c r="B366" s="11"/>
      <c r="C366" s="3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 x14ac:dyDescent="0.15">
      <c r="A367" s="3"/>
      <c r="B367" s="11"/>
      <c r="C367" s="3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 x14ac:dyDescent="0.15">
      <c r="A368" s="3"/>
      <c r="B368" s="11"/>
      <c r="C368" s="3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 x14ac:dyDescent="0.15">
      <c r="A369" s="3"/>
      <c r="B369" s="11"/>
      <c r="C369" s="3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 x14ac:dyDescent="0.15">
      <c r="A370" s="3"/>
      <c r="B370" s="11"/>
      <c r="C370" s="3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 x14ac:dyDescent="0.15">
      <c r="A371" s="3"/>
      <c r="B371" s="11"/>
      <c r="C371" s="3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 x14ac:dyDescent="0.15">
      <c r="A372" s="3"/>
      <c r="B372" s="11"/>
      <c r="C372" s="3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 x14ac:dyDescent="0.15">
      <c r="A373" s="3"/>
      <c r="B373" s="11"/>
      <c r="C373" s="3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 x14ac:dyDescent="0.15">
      <c r="A374" s="3"/>
      <c r="B374" s="11"/>
      <c r="C374" s="3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 x14ac:dyDescent="0.15">
      <c r="A375" s="3"/>
      <c r="B375" s="11"/>
      <c r="C375" s="3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 x14ac:dyDescent="0.15">
      <c r="A376" s="3"/>
      <c r="B376" s="11"/>
      <c r="C376" s="3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 x14ac:dyDescent="0.15">
      <c r="A377" s="3"/>
      <c r="B377" s="11"/>
      <c r="C377" s="3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 x14ac:dyDescent="0.15">
      <c r="A378" s="3"/>
      <c r="B378" s="11"/>
      <c r="C378" s="3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 x14ac:dyDescent="0.15">
      <c r="A379" s="3"/>
      <c r="B379" s="11"/>
      <c r="C379" s="3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 x14ac:dyDescent="0.15">
      <c r="A380" s="3"/>
      <c r="B380" s="11"/>
      <c r="C380" s="3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 x14ac:dyDescent="0.15">
      <c r="A381" s="3"/>
      <c r="B381" s="11"/>
      <c r="C381" s="3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 x14ac:dyDescent="0.15">
      <c r="A382" s="3"/>
      <c r="B382" s="11"/>
      <c r="C382" s="3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 x14ac:dyDescent="0.15">
      <c r="A383" s="3"/>
      <c r="B383" s="11"/>
      <c r="C383" s="3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 x14ac:dyDescent="0.15">
      <c r="A384" s="3"/>
      <c r="B384" s="11"/>
      <c r="C384" s="3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 x14ac:dyDescent="0.15">
      <c r="A385" s="3"/>
      <c r="B385" s="11"/>
      <c r="C385" s="3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 x14ac:dyDescent="0.15">
      <c r="A386" s="3"/>
      <c r="B386" s="11"/>
      <c r="C386" s="3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 x14ac:dyDescent="0.15">
      <c r="A387" s="3"/>
      <c r="B387" s="11"/>
      <c r="C387" s="3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 x14ac:dyDescent="0.15">
      <c r="A388" s="3"/>
      <c r="B388" s="11"/>
      <c r="C388" s="3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 x14ac:dyDescent="0.15">
      <c r="A389" s="3"/>
      <c r="B389" s="11"/>
      <c r="C389" s="3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 x14ac:dyDescent="0.15">
      <c r="A390" s="3"/>
      <c r="B390" s="11"/>
      <c r="C390" s="3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 x14ac:dyDescent="0.15">
      <c r="A391" s="3"/>
      <c r="B391" s="11"/>
      <c r="C391" s="3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 x14ac:dyDescent="0.15">
      <c r="A392" s="3"/>
      <c r="B392" s="11"/>
      <c r="C392" s="3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 x14ac:dyDescent="0.15">
      <c r="A393" s="3"/>
      <c r="B393" s="11"/>
      <c r="C393" s="3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 x14ac:dyDescent="0.15">
      <c r="A394" s="3"/>
      <c r="B394" s="11"/>
      <c r="C394" s="3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 x14ac:dyDescent="0.15">
      <c r="A395" s="3"/>
      <c r="B395" s="11"/>
      <c r="C395" s="3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 x14ac:dyDescent="0.15">
      <c r="A396" s="3"/>
      <c r="B396" s="11"/>
      <c r="C396" s="3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 x14ac:dyDescent="0.15">
      <c r="A397" s="3"/>
      <c r="B397" s="11"/>
      <c r="C397" s="3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 x14ac:dyDescent="0.15">
      <c r="A398" s="3"/>
      <c r="B398" s="11"/>
      <c r="C398" s="3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 x14ac:dyDescent="0.15">
      <c r="A399" s="3"/>
      <c r="B399" s="11"/>
      <c r="C399" s="3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 x14ac:dyDescent="0.15">
      <c r="A400" s="3"/>
      <c r="B400" s="11"/>
      <c r="C400" s="3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 x14ac:dyDescent="0.15">
      <c r="A401" s="3"/>
      <c r="B401" s="11"/>
      <c r="C401" s="3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 x14ac:dyDescent="0.15">
      <c r="A402" s="3"/>
      <c r="B402" s="11"/>
      <c r="C402" s="3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 x14ac:dyDescent="0.15">
      <c r="A403" s="3"/>
      <c r="B403" s="11"/>
      <c r="C403" s="3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 x14ac:dyDescent="0.15">
      <c r="A404" s="3"/>
      <c r="B404" s="11"/>
      <c r="C404" s="3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 x14ac:dyDescent="0.15">
      <c r="A405" s="3"/>
      <c r="B405" s="11"/>
      <c r="C405" s="3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 x14ac:dyDescent="0.15">
      <c r="A406" s="3"/>
      <c r="B406" s="11"/>
      <c r="C406" s="3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 x14ac:dyDescent="0.15">
      <c r="A407" s="3"/>
      <c r="B407" s="11"/>
      <c r="C407" s="3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 x14ac:dyDescent="0.15">
      <c r="A408" s="3"/>
      <c r="B408" s="11"/>
      <c r="C408" s="3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 x14ac:dyDescent="0.15">
      <c r="A409" s="3"/>
      <c r="B409" s="11"/>
      <c r="C409" s="3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 x14ac:dyDescent="0.15">
      <c r="A410" s="3"/>
      <c r="B410" s="11"/>
      <c r="C410" s="3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 x14ac:dyDescent="0.15">
      <c r="A411" s="3"/>
      <c r="B411" s="11"/>
      <c r="C411" s="3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 x14ac:dyDescent="0.15">
      <c r="A412" s="3"/>
      <c r="B412" s="11"/>
      <c r="C412" s="3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 x14ac:dyDescent="0.15">
      <c r="A413" s="3"/>
      <c r="B413" s="11"/>
      <c r="C413" s="3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 x14ac:dyDescent="0.15">
      <c r="A414" s="3"/>
      <c r="B414" s="11"/>
      <c r="C414" s="3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 x14ac:dyDescent="0.15">
      <c r="A415" s="3"/>
      <c r="B415" s="11"/>
      <c r="C415" s="3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 x14ac:dyDescent="0.15">
      <c r="A416" s="3"/>
      <c r="B416" s="11"/>
      <c r="C416" s="3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 x14ac:dyDescent="0.15">
      <c r="A417" s="3"/>
      <c r="B417" s="11"/>
      <c r="C417" s="3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 x14ac:dyDescent="0.15">
      <c r="A418" s="3"/>
      <c r="B418" s="11"/>
      <c r="C418" s="3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 x14ac:dyDescent="0.15">
      <c r="A419" s="3"/>
      <c r="B419" s="11"/>
      <c r="C419" s="3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 x14ac:dyDescent="0.15">
      <c r="A420" s="3"/>
      <c r="B420" s="11"/>
      <c r="C420" s="3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 x14ac:dyDescent="0.15">
      <c r="A421" s="3"/>
      <c r="B421" s="11"/>
      <c r="C421" s="3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 x14ac:dyDescent="0.15">
      <c r="A422" s="3"/>
      <c r="B422" s="11"/>
      <c r="C422" s="3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 x14ac:dyDescent="0.15">
      <c r="A423" s="3"/>
      <c r="B423" s="11"/>
      <c r="C423" s="3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 x14ac:dyDescent="0.15">
      <c r="A424" s="3"/>
      <c r="B424" s="11"/>
      <c r="C424" s="3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 x14ac:dyDescent="0.15">
      <c r="A425" s="3"/>
      <c r="B425" s="11"/>
      <c r="C425" s="3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 x14ac:dyDescent="0.15">
      <c r="A426" s="3"/>
      <c r="B426" s="11"/>
      <c r="C426" s="3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 x14ac:dyDescent="0.15">
      <c r="A427" s="3"/>
      <c r="B427" s="11"/>
      <c r="C427" s="3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 x14ac:dyDescent="0.15">
      <c r="A428" s="3"/>
      <c r="B428" s="11"/>
      <c r="C428" s="3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 x14ac:dyDescent="0.15">
      <c r="A429" s="3"/>
      <c r="B429" s="11"/>
      <c r="C429" s="3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 x14ac:dyDescent="0.15">
      <c r="A430" s="3"/>
      <c r="B430" s="11"/>
      <c r="C430" s="3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 x14ac:dyDescent="0.15">
      <c r="A431" s="3"/>
      <c r="B431" s="11"/>
      <c r="C431" s="3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 x14ac:dyDescent="0.15">
      <c r="A432" s="3"/>
      <c r="B432" s="11"/>
      <c r="C432" s="3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 x14ac:dyDescent="0.15">
      <c r="A433" s="3"/>
      <c r="B433" s="11"/>
      <c r="C433" s="3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 x14ac:dyDescent="0.15">
      <c r="A434" s="3"/>
      <c r="B434" s="11"/>
      <c r="C434" s="3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 x14ac:dyDescent="0.15">
      <c r="A435" s="3"/>
      <c r="B435" s="11"/>
      <c r="C435" s="3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 x14ac:dyDescent="0.15">
      <c r="A436" s="3"/>
      <c r="B436" s="11"/>
      <c r="C436" s="3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 x14ac:dyDescent="0.15">
      <c r="A437" s="3"/>
      <c r="B437" s="11"/>
      <c r="C437" s="3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 x14ac:dyDescent="0.15">
      <c r="A438" s="3"/>
      <c r="B438" s="11"/>
      <c r="C438" s="3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 x14ac:dyDescent="0.15">
      <c r="A439" s="3"/>
      <c r="B439" s="11"/>
      <c r="C439" s="3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 x14ac:dyDescent="0.15">
      <c r="A440" s="3"/>
      <c r="B440" s="11"/>
      <c r="C440" s="3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 x14ac:dyDescent="0.15">
      <c r="A441" s="3"/>
      <c r="B441" s="11"/>
      <c r="C441" s="3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 x14ac:dyDescent="0.15">
      <c r="A442" s="3"/>
      <c r="B442" s="11"/>
      <c r="C442" s="3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 x14ac:dyDescent="0.15">
      <c r="A443" s="3"/>
      <c r="B443" s="11"/>
      <c r="C443" s="3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 x14ac:dyDescent="0.15">
      <c r="A444" s="3"/>
      <c r="B444" s="11"/>
      <c r="C444" s="3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 x14ac:dyDescent="0.15">
      <c r="A445" s="3"/>
      <c r="B445" s="11"/>
      <c r="C445" s="3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 x14ac:dyDescent="0.15">
      <c r="A446" s="3"/>
      <c r="B446" s="11"/>
      <c r="C446" s="3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 x14ac:dyDescent="0.15">
      <c r="A447" s="3"/>
      <c r="B447" s="11"/>
      <c r="C447" s="3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 x14ac:dyDescent="0.15">
      <c r="A448" s="3"/>
      <c r="B448" s="11"/>
      <c r="C448" s="3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 x14ac:dyDescent="0.15">
      <c r="A449" s="3"/>
      <c r="B449" s="11"/>
      <c r="C449" s="3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 x14ac:dyDescent="0.15">
      <c r="A450" s="3"/>
      <c r="B450" s="11"/>
      <c r="C450" s="3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 x14ac:dyDescent="0.15">
      <c r="A451" s="3"/>
      <c r="B451" s="11"/>
      <c r="C451" s="3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 x14ac:dyDescent="0.15">
      <c r="A452" s="3"/>
      <c r="B452" s="11"/>
      <c r="C452" s="3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 x14ac:dyDescent="0.15">
      <c r="A453" s="3"/>
      <c r="B453" s="11"/>
      <c r="C453" s="3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 x14ac:dyDescent="0.15">
      <c r="A454" s="3"/>
      <c r="B454" s="11"/>
      <c r="C454" s="3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 x14ac:dyDescent="0.15">
      <c r="A455" s="3"/>
      <c r="B455" s="11"/>
      <c r="C455" s="3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 x14ac:dyDescent="0.15">
      <c r="A456" s="3"/>
      <c r="B456" s="11"/>
      <c r="C456" s="3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 x14ac:dyDescent="0.15">
      <c r="A457" s="3"/>
      <c r="B457" s="11"/>
      <c r="C457" s="3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 x14ac:dyDescent="0.15">
      <c r="A458" s="3"/>
      <c r="B458" s="11"/>
      <c r="C458" s="3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 x14ac:dyDescent="0.15">
      <c r="A459" s="3"/>
      <c r="B459" s="11"/>
      <c r="C459" s="3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 x14ac:dyDescent="0.15">
      <c r="A460" s="3"/>
      <c r="B460" s="11"/>
      <c r="C460" s="3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 x14ac:dyDescent="0.15">
      <c r="A461" s="3"/>
      <c r="B461" s="11"/>
      <c r="C461" s="3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 x14ac:dyDescent="0.15">
      <c r="A462" s="3"/>
      <c r="B462" s="11"/>
      <c r="C462" s="3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 x14ac:dyDescent="0.15">
      <c r="A463" s="3"/>
      <c r="B463" s="11"/>
      <c r="C463" s="3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 x14ac:dyDescent="0.15">
      <c r="A464" s="3"/>
      <c r="B464" s="11"/>
      <c r="C464" s="3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 x14ac:dyDescent="0.15">
      <c r="A465" s="3"/>
      <c r="B465" s="11"/>
      <c r="C465" s="3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 x14ac:dyDescent="0.15">
      <c r="A466" s="3"/>
      <c r="B466" s="11"/>
      <c r="C466" s="3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 x14ac:dyDescent="0.15">
      <c r="A467" s="3"/>
      <c r="B467" s="11"/>
      <c r="C467" s="3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 x14ac:dyDescent="0.15">
      <c r="A468" s="3"/>
      <c r="B468" s="11"/>
      <c r="C468" s="3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 x14ac:dyDescent="0.15">
      <c r="A469" s="3"/>
      <c r="B469" s="11"/>
      <c r="C469" s="3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 x14ac:dyDescent="0.15">
      <c r="A470" s="3"/>
      <c r="B470" s="11"/>
      <c r="C470" s="3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 x14ac:dyDescent="0.15">
      <c r="A471" s="3"/>
      <c r="B471" s="11"/>
      <c r="C471" s="3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 x14ac:dyDescent="0.15">
      <c r="A472" s="3"/>
      <c r="B472" s="11"/>
      <c r="C472" s="3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 x14ac:dyDescent="0.15">
      <c r="A473" s="3"/>
      <c r="B473" s="11"/>
      <c r="C473" s="3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 x14ac:dyDescent="0.15">
      <c r="A474" s="3"/>
      <c r="B474" s="11"/>
      <c r="C474" s="3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 x14ac:dyDescent="0.15">
      <c r="A475" s="3"/>
      <c r="B475" s="11"/>
      <c r="C475" s="3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 x14ac:dyDescent="0.15">
      <c r="A476" s="3"/>
      <c r="B476" s="11"/>
      <c r="C476" s="3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 x14ac:dyDescent="0.15">
      <c r="A477" s="3"/>
      <c r="B477" s="11"/>
      <c r="C477" s="3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 x14ac:dyDescent="0.15">
      <c r="A478" s="3"/>
      <c r="B478" s="11"/>
      <c r="C478" s="3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 x14ac:dyDescent="0.15">
      <c r="A479" s="3"/>
      <c r="B479" s="11"/>
      <c r="C479" s="3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 x14ac:dyDescent="0.15">
      <c r="A480" s="3"/>
      <c r="B480" s="11"/>
      <c r="C480" s="3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 x14ac:dyDescent="0.15">
      <c r="A481" s="3"/>
      <c r="B481" s="11"/>
      <c r="C481" s="3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 x14ac:dyDescent="0.15">
      <c r="A482" s="3"/>
      <c r="B482" s="11"/>
      <c r="C482" s="3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 x14ac:dyDescent="0.15">
      <c r="A483" s="3"/>
      <c r="B483" s="11"/>
      <c r="C483" s="3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 x14ac:dyDescent="0.15">
      <c r="A484" s="3"/>
      <c r="B484" s="11"/>
      <c r="C484" s="3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 x14ac:dyDescent="0.15">
      <c r="A485" s="3"/>
      <c r="B485" s="11"/>
      <c r="C485" s="3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 x14ac:dyDescent="0.15">
      <c r="A486" s="3"/>
      <c r="B486" s="11"/>
      <c r="C486" s="3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 x14ac:dyDescent="0.15">
      <c r="A487" s="3"/>
      <c r="B487" s="11"/>
      <c r="C487" s="3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 x14ac:dyDescent="0.15">
      <c r="A488" s="3"/>
      <c r="B488" s="11"/>
      <c r="C488" s="3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 x14ac:dyDescent="0.15">
      <c r="A489" s="3"/>
      <c r="B489" s="11"/>
      <c r="C489" s="3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 x14ac:dyDescent="0.15">
      <c r="A490" s="3"/>
      <c r="B490" s="11"/>
      <c r="C490" s="3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 x14ac:dyDescent="0.15">
      <c r="A491" s="3"/>
      <c r="B491" s="11"/>
      <c r="C491" s="3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 x14ac:dyDescent="0.15">
      <c r="A492" s="3"/>
      <c r="B492" s="11"/>
      <c r="C492" s="3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 x14ac:dyDescent="0.15">
      <c r="A493" s="3"/>
      <c r="B493" s="11"/>
      <c r="C493" s="3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 x14ac:dyDescent="0.15">
      <c r="A494" s="3"/>
      <c r="B494" s="11"/>
      <c r="C494" s="3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 x14ac:dyDescent="0.15">
      <c r="A495" s="3"/>
      <c r="B495" s="11"/>
      <c r="C495" s="3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 x14ac:dyDescent="0.15">
      <c r="A496" s="3"/>
      <c r="B496" s="11"/>
      <c r="C496" s="3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 x14ac:dyDescent="0.15">
      <c r="A497" s="3"/>
      <c r="B497" s="11"/>
      <c r="C497" s="3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 x14ac:dyDescent="0.15">
      <c r="A498" s="3"/>
      <c r="B498" s="11"/>
      <c r="C498" s="3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 x14ac:dyDescent="0.15">
      <c r="A499" s="3"/>
      <c r="B499" s="11"/>
      <c r="C499" s="3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 x14ac:dyDescent="0.15">
      <c r="A500" s="3"/>
      <c r="B500" s="11"/>
      <c r="C500" s="3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 x14ac:dyDescent="0.15">
      <c r="A501" s="3"/>
      <c r="B501" s="11"/>
      <c r="C501" s="3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 x14ac:dyDescent="0.15">
      <c r="A502" s="3"/>
      <c r="B502" s="11"/>
      <c r="C502" s="3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 x14ac:dyDescent="0.15">
      <c r="A503" s="3"/>
      <c r="B503" s="11"/>
      <c r="C503" s="3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 x14ac:dyDescent="0.15">
      <c r="A504" s="3"/>
      <c r="B504" s="11"/>
      <c r="C504" s="3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 x14ac:dyDescent="0.15">
      <c r="A505" s="3"/>
      <c r="B505" s="11"/>
      <c r="C505" s="3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 x14ac:dyDescent="0.15">
      <c r="A506" s="3"/>
      <c r="B506" s="11"/>
      <c r="C506" s="3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 x14ac:dyDescent="0.15">
      <c r="A507" s="3"/>
      <c r="B507" s="11"/>
      <c r="C507" s="3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 x14ac:dyDescent="0.15">
      <c r="A508" s="3"/>
      <c r="B508" s="11"/>
      <c r="C508" s="3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 x14ac:dyDescent="0.15">
      <c r="A509" s="3"/>
      <c r="B509" s="11"/>
      <c r="C509" s="3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 x14ac:dyDescent="0.15">
      <c r="A510" s="3"/>
      <c r="B510" s="11"/>
      <c r="C510" s="3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 x14ac:dyDescent="0.15">
      <c r="A511" s="3"/>
      <c r="B511" s="11"/>
      <c r="C511" s="3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 x14ac:dyDescent="0.15">
      <c r="A512" s="3"/>
      <c r="B512" s="11"/>
      <c r="C512" s="3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 x14ac:dyDescent="0.15">
      <c r="A513" s="3"/>
      <c r="B513" s="11"/>
      <c r="C513" s="3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 x14ac:dyDescent="0.15">
      <c r="A514" s="3"/>
      <c r="B514" s="11"/>
      <c r="C514" s="3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 x14ac:dyDescent="0.15">
      <c r="A515" s="3"/>
      <c r="B515" s="11"/>
      <c r="C515" s="3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 x14ac:dyDescent="0.15">
      <c r="A516" s="3"/>
      <c r="B516" s="11"/>
      <c r="C516" s="3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 x14ac:dyDescent="0.15">
      <c r="A517" s="3"/>
      <c r="B517" s="11"/>
      <c r="C517" s="3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 x14ac:dyDescent="0.15">
      <c r="A518" s="3"/>
      <c r="B518" s="11"/>
      <c r="C518" s="3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 x14ac:dyDescent="0.15">
      <c r="A519" s="3"/>
      <c r="B519" s="11"/>
      <c r="C519" s="3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 x14ac:dyDescent="0.15">
      <c r="A520" s="3"/>
      <c r="B520" s="11"/>
      <c r="C520" s="3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 x14ac:dyDescent="0.15">
      <c r="A521" s="3"/>
      <c r="B521" s="11"/>
      <c r="C521" s="3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 x14ac:dyDescent="0.15">
      <c r="A522" s="3"/>
      <c r="B522" s="11"/>
      <c r="C522" s="3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 x14ac:dyDescent="0.15">
      <c r="A523" s="3"/>
      <c r="B523" s="11"/>
      <c r="C523" s="3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 x14ac:dyDescent="0.15">
      <c r="A524" s="3"/>
      <c r="B524" s="11"/>
      <c r="C524" s="3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 x14ac:dyDescent="0.15">
      <c r="A525" s="3"/>
      <c r="B525" s="11"/>
      <c r="C525" s="3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 x14ac:dyDescent="0.15">
      <c r="A526" s="3"/>
      <c r="B526" s="11"/>
      <c r="C526" s="3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 x14ac:dyDescent="0.15">
      <c r="A527" s="3"/>
      <c r="B527" s="11"/>
      <c r="C527" s="3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 x14ac:dyDescent="0.15">
      <c r="A528" s="3"/>
      <c r="B528" s="11"/>
      <c r="C528" s="3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 x14ac:dyDescent="0.15">
      <c r="A529" s="3"/>
      <c r="B529" s="11"/>
      <c r="C529" s="3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 x14ac:dyDescent="0.15">
      <c r="A530" s="3"/>
      <c r="B530" s="11"/>
      <c r="C530" s="3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 x14ac:dyDescent="0.15">
      <c r="A531" s="3"/>
      <c r="B531" s="11"/>
      <c r="C531" s="3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 x14ac:dyDescent="0.15">
      <c r="A532" s="3"/>
      <c r="B532" s="11"/>
      <c r="C532" s="3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 x14ac:dyDescent="0.15">
      <c r="A533" s="3"/>
      <c r="B533" s="11"/>
      <c r="C533" s="3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 x14ac:dyDescent="0.15">
      <c r="A534" s="3"/>
      <c r="B534" s="11"/>
      <c r="C534" s="3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 x14ac:dyDescent="0.15">
      <c r="A535" s="3"/>
      <c r="B535" s="11"/>
      <c r="C535" s="3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 x14ac:dyDescent="0.15">
      <c r="A536" s="3"/>
      <c r="B536" s="11"/>
      <c r="C536" s="3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 x14ac:dyDescent="0.15">
      <c r="A537" s="3"/>
      <c r="B537" s="11"/>
      <c r="C537" s="3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 x14ac:dyDescent="0.15">
      <c r="A538" s="3"/>
      <c r="B538" s="11"/>
      <c r="C538" s="3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 x14ac:dyDescent="0.15">
      <c r="A539" s="3"/>
      <c r="B539" s="11"/>
      <c r="C539" s="3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 x14ac:dyDescent="0.15">
      <c r="A540" s="3"/>
      <c r="B540" s="11"/>
      <c r="C540" s="3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 x14ac:dyDescent="0.15">
      <c r="A541" s="3"/>
      <c r="B541" s="11"/>
      <c r="C541" s="3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 x14ac:dyDescent="0.15">
      <c r="A542" s="3"/>
      <c r="B542" s="11"/>
      <c r="C542" s="3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 x14ac:dyDescent="0.15">
      <c r="A543" s="3"/>
      <c r="B543" s="11"/>
      <c r="C543" s="3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 x14ac:dyDescent="0.15">
      <c r="A544" s="3"/>
      <c r="B544" s="11"/>
      <c r="C544" s="3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 x14ac:dyDescent="0.15">
      <c r="A545" s="3"/>
      <c r="B545" s="11"/>
      <c r="C545" s="3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 x14ac:dyDescent="0.15">
      <c r="A546" s="3"/>
      <c r="B546" s="11"/>
      <c r="C546" s="3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 x14ac:dyDescent="0.15">
      <c r="A547" s="3"/>
      <c r="B547" s="11"/>
      <c r="C547" s="3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 x14ac:dyDescent="0.15">
      <c r="A548" s="3"/>
      <c r="B548" s="11"/>
      <c r="C548" s="3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 x14ac:dyDescent="0.15">
      <c r="A549" s="3"/>
      <c r="B549" s="11"/>
      <c r="C549" s="3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 x14ac:dyDescent="0.15">
      <c r="A550" s="3"/>
      <c r="B550" s="11"/>
      <c r="C550" s="3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 x14ac:dyDescent="0.15">
      <c r="A551" s="3"/>
      <c r="B551" s="11"/>
      <c r="C551" s="3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 x14ac:dyDescent="0.15">
      <c r="A552" s="3"/>
      <c r="B552" s="11"/>
      <c r="C552" s="3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 x14ac:dyDescent="0.15">
      <c r="A553" s="3"/>
      <c r="B553" s="11"/>
      <c r="C553" s="3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 x14ac:dyDescent="0.15">
      <c r="A554" s="3"/>
      <c r="B554" s="11"/>
      <c r="C554" s="3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 x14ac:dyDescent="0.15">
      <c r="A555" s="3"/>
      <c r="B555" s="11"/>
      <c r="C555" s="3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 x14ac:dyDescent="0.15">
      <c r="A556" s="3"/>
      <c r="B556" s="11"/>
      <c r="C556" s="3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 x14ac:dyDescent="0.15">
      <c r="A557" s="3"/>
      <c r="B557" s="11"/>
      <c r="C557" s="3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 x14ac:dyDescent="0.15">
      <c r="A558" s="3"/>
      <c r="B558" s="11"/>
      <c r="C558" s="3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 x14ac:dyDescent="0.15">
      <c r="A559" s="3"/>
      <c r="B559" s="11"/>
      <c r="C559" s="3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 x14ac:dyDescent="0.15">
      <c r="A560" s="3"/>
      <c r="B560" s="11"/>
      <c r="C560" s="3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 x14ac:dyDescent="0.15">
      <c r="A561" s="3"/>
      <c r="B561" s="11"/>
      <c r="C561" s="3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 x14ac:dyDescent="0.15">
      <c r="A562" s="3"/>
      <c r="B562" s="11"/>
      <c r="C562" s="3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 x14ac:dyDescent="0.15">
      <c r="A563" s="3"/>
      <c r="B563" s="11"/>
      <c r="C563" s="3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 x14ac:dyDescent="0.15">
      <c r="A564" s="3"/>
      <c r="B564" s="11"/>
      <c r="C564" s="3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 x14ac:dyDescent="0.15">
      <c r="A565" s="3"/>
      <c r="B565" s="11"/>
      <c r="C565" s="3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 x14ac:dyDescent="0.15">
      <c r="A566" s="3"/>
      <c r="B566" s="11"/>
      <c r="C566" s="3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 x14ac:dyDescent="0.15">
      <c r="A567" s="3"/>
      <c r="B567" s="11"/>
      <c r="C567" s="3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 x14ac:dyDescent="0.15">
      <c r="A568" s="3"/>
      <c r="B568" s="11"/>
      <c r="C568" s="3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 x14ac:dyDescent="0.15">
      <c r="A569" s="3"/>
      <c r="B569" s="11"/>
      <c r="C569" s="3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 x14ac:dyDescent="0.15">
      <c r="A570" s="3"/>
      <c r="B570" s="11"/>
      <c r="C570" s="3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 x14ac:dyDescent="0.15">
      <c r="A571" s="3"/>
      <c r="B571" s="11"/>
      <c r="C571" s="3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 x14ac:dyDescent="0.15">
      <c r="A572" s="3"/>
      <c r="B572" s="11"/>
      <c r="C572" s="3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 x14ac:dyDescent="0.15">
      <c r="A573" s="3"/>
      <c r="B573" s="11"/>
      <c r="C573" s="3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 x14ac:dyDescent="0.15">
      <c r="A574" s="3"/>
      <c r="B574" s="11"/>
      <c r="C574" s="3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 x14ac:dyDescent="0.15">
      <c r="A575" s="3"/>
      <c r="B575" s="11"/>
      <c r="C575" s="3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 x14ac:dyDescent="0.15">
      <c r="A576" s="3"/>
      <c r="B576" s="11"/>
      <c r="C576" s="3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 x14ac:dyDescent="0.15">
      <c r="A577" s="3"/>
      <c r="B577" s="11"/>
      <c r="C577" s="3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 x14ac:dyDescent="0.15">
      <c r="A578" s="3"/>
      <c r="B578" s="11"/>
      <c r="C578" s="3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 x14ac:dyDescent="0.15">
      <c r="A579" s="3"/>
      <c r="B579" s="11"/>
      <c r="C579" s="3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 x14ac:dyDescent="0.15">
      <c r="A580" s="3"/>
      <c r="B580" s="11"/>
      <c r="C580" s="3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 x14ac:dyDescent="0.15">
      <c r="A581" s="3"/>
      <c r="B581" s="11"/>
      <c r="C581" s="3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 x14ac:dyDescent="0.15">
      <c r="A582" s="3"/>
      <c r="B582" s="11"/>
      <c r="C582" s="3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 x14ac:dyDescent="0.15">
      <c r="A583" s="3"/>
      <c r="B583" s="11"/>
      <c r="C583" s="3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 x14ac:dyDescent="0.15">
      <c r="A584" s="3"/>
      <c r="B584" s="11"/>
      <c r="C584" s="3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 x14ac:dyDescent="0.15">
      <c r="A585" s="3"/>
      <c r="B585" s="11"/>
      <c r="C585" s="3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 x14ac:dyDescent="0.15">
      <c r="A586" s="3"/>
      <c r="B586" s="11"/>
      <c r="C586" s="3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 x14ac:dyDescent="0.15">
      <c r="A587" s="3"/>
      <c r="B587" s="11"/>
      <c r="C587" s="3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 x14ac:dyDescent="0.15">
      <c r="A588" s="3"/>
      <c r="B588" s="11"/>
      <c r="C588" s="3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 x14ac:dyDescent="0.15">
      <c r="A589" s="3"/>
      <c r="B589" s="11"/>
      <c r="C589" s="3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 x14ac:dyDescent="0.15">
      <c r="A590" s="3"/>
      <c r="B590" s="11"/>
      <c r="C590" s="3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 x14ac:dyDescent="0.15">
      <c r="A591" s="3"/>
      <c r="B591" s="11"/>
      <c r="C591" s="3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 x14ac:dyDescent="0.15">
      <c r="A592" s="3"/>
      <c r="B592" s="11"/>
      <c r="C592" s="3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 x14ac:dyDescent="0.15">
      <c r="A593" s="3"/>
      <c r="B593" s="11"/>
      <c r="C593" s="3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 x14ac:dyDescent="0.15">
      <c r="A594" s="3"/>
      <c r="B594" s="11"/>
      <c r="C594" s="3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 x14ac:dyDescent="0.15">
      <c r="A595" s="3"/>
      <c r="B595" s="11"/>
      <c r="C595" s="3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 x14ac:dyDescent="0.15">
      <c r="A596" s="3"/>
      <c r="B596" s="11"/>
      <c r="C596" s="3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 x14ac:dyDescent="0.15">
      <c r="A597" s="3"/>
      <c r="B597" s="11"/>
      <c r="C597" s="3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 x14ac:dyDescent="0.15">
      <c r="A598" s="3"/>
      <c r="B598" s="11"/>
      <c r="C598" s="3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 x14ac:dyDescent="0.15">
      <c r="A599" s="3"/>
      <c r="B599" s="11"/>
      <c r="C599" s="3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 x14ac:dyDescent="0.15">
      <c r="A600" s="3"/>
      <c r="B600" s="11"/>
      <c r="C600" s="3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 x14ac:dyDescent="0.15">
      <c r="A601" s="3"/>
      <c r="B601" s="11"/>
      <c r="C601" s="3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 x14ac:dyDescent="0.15">
      <c r="A602" s="3"/>
      <c r="B602" s="11"/>
      <c r="C602" s="3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 x14ac:dyDescent="0.15">
      <c r="A603" s="3"/>
      <c r="B603" s="11"/>
      <c r="C603" s="3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 x14ac:dyDescent="0.15">
      <c r="A604" s="3"/>
      <c r="B604" s="11"/>
      <c r="C604" s="3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 x14ac:dyDescent="0.15">
      <c r="A605" s="3"/>
      <c r="B605" s="11"/>
      <c r="C605" s="3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 x14ac:dyDescent="0.15">
      <c r="A606" s="3"/>
      <c r="B606" s="11"/>
      <c r="C606" s="3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 x14ac:dyDescent="0.15">
      <c r="A607" s="3"/>
      <c r="B607" s="11"/>
      <c r="C607" s="3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 x14ac:dyDescent="0.15">
      <c r="A608" s="3"/>
      <c r="B608" s="11"/>
      <c r="C608" s="3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 x14ac:dyDescent="0.15">
      <c r="A609" s="3"/>
      <c r="B609" s="11"/>
      <c r="C609" s="3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 x14ac:dyDescent="0.15">
      <c r="A610" s="3"/>
      <c r="B610" s="11"/>
      <c r="C610" s="3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 x14ac:dyDescent="0.15">
      <c r="A611" s="3"/>
      <c r="B611" s="11"/>
      <c r="C611" s="3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 x14ac:dyDescent="0.15">
      <c r="A612" s="3"/>
      <c r="B612" s="11"/>
      <c r="C612" s="3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 x14ac:dyDescent="0.15">
      <c r="A613" s="3"/>
      <c r="B613" s="11"/>
      <c r="C613" s="3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 x14ac:dyDescent="0.15">
      <c r="A614" s="3"/>
      <c r="B614" s="11"/>
      <c r="C614" s="3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 x14ac:dyDescent="0.15">
      <c r="A615" s="3"/>
      <c r="B615" s="11"/>
      <c r="C615" s="3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 x14ac:dyDescent="0.15">
      <c r="A616" s="3"/>
      <c r="B616" s="11"/>
      <c r="C616" s="3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 x14ac:dyDescent="0.15">
      <c r="A617" s="3"/>
      <c r="B617" s="11"/>
      <c r="C617" s="3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 x14ac:dyDescent="0.15">
      <c r="A618" s="3"/>
      <c r="B618" s="11"/>
      <c r="C618" s="3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 x14ac:dyDescent="0.15">
      <c r="A619" s="3"/>
      <c r="B619" s="11"/>
      <c r="C619" s="3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 x14ac:dyDescent="0.15">
      <c r="A620" s="3"/>
      <c r="B620" s="11"/>
      <c r="C620" s="3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 x14ac:dyDescent="0.15">
      <c r="A621" s="3"/>
      <c r="B621" s="11"/>
      <c r="C621" s="3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 x14ac:dyDescent="0.15">
      <c r="A622" s="3"/>
      <c r="B622" s="11"/>
      <c r="C622" s="3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 x14ac:dyDescent="0.15">
      <c r="A623" s="3"/>
      <c r="B623" s="11"/>
      <c r="C623" s="3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 x14ac:dyDescent="0.15">
      <c r="A624" s="3"/>
      <c r="B624" s="11"/>
      <c r="C624" s="3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 x14ac:dyDescent="0.15">
      <c r="A625" s="3"/>
      <c r="B625" s="11"/>
      <c r="C625" s="3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 x14ac:dyDescent="0.15">
      <c r="A626" s="3"/>
      <c r="B626" s="11"/>
      <c r="C626" s="3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 x14ac:dyDescent="0.15">
      <c r="A627" s="3"/>
      <c r="B627" s="11"/>
      <c r="C627" s="3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 x14ac:dyDescent="0.15">
      <c r="A628" s="3"/>
      <c r="B628" s="11"/>
      <c r="C628" s="3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 x14ac:dyDescent="0.15">
      <c r="A629" s="3"/>
      <c r="B629" s="11"/>
      <c r="C629" s="3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 x14ac:dyDescent="0.15">
      <c r="A630" s="3"/>
      <c r="B630" s="11"/>
      <c r="C630" s="3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 x14ac:dyDescent="0.15">
      <c r="A631" s="3"/>
      <c r="B631" s="11"/>
      <c r="C631" s="3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 x14ac:dyDescent="0.15">
      <c r="A632" s="3"/>
      <c r="B632" s="11"/>
      <c r="C632" s="3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 x14ac:dyDescent="0.15">
      <c r="A633" s="3"/>
      <c r="B633" s="11"/>
      <c r="C633" s="3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 x14ac:dyDescent="0.15">
      <c r="A634" s="3"/>
      <c r="B634" s="11"/>
      <c r="C634" s="3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 x14ac:dyDescent="0.15">
      <c r="A635" s="3"/>
      <c r="B635" s="11"/>
      <c r="C635" s="3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 x14ac:dyDescent="0.15">
      <c r="A636" s="3"/>
      <c r="B636" s="11"/>
      <c r="C636" s="3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 x14ac:dyDescent="0.15">
      <c r="A637" s="3"/>
      <c r="B637" s="11"/>
      <c r="C637" s="3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 x14ac:dyDescent="0.15">
      <c r="A638" s="3"/>
      <c r="B638" s="11"/>
      <c r="C638" s="3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 x14ac:dyDescent="0.15">
      <c r="A639" s="3"/>
      <c r="B639" s="11"/>
      <c r="C639" s="3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 x14ac:dyDescent="0.15">
      <c r="A640" s="3"/>
      <c r="B640" s="11"/>
      <c r="C640" s="3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 x14ac:dyDescent="0.15">
      <c r="A641" s="3"/>
      <c r="B641" s="11"/>
      <c r="C641" s="3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 x14ac:dyDescent="0.15">
      <c r="A642" s="3"/>
      <c r="B642" s="11"/>
      <c r="C642" s="3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 x14ac:dyDescent="0.15">
      <c r="A643" s="3"/>
      <c r="B643" s="11"/>
      <c r="C643" s="3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 x14ac:dyDescent="0.15">
      <c r="A644" s="3"/>
      <c r="B644" s="11"/>
      <c r="C644" s="3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 x14ac:dyDescent="0.15">
      <c r="A645" s="3"/>
      <c r="B645" s="11"/>
      <c r="C645" s="3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 x14ac:dyDescent="0.15">
      <c r="A646" s="3"/>
      <c r="B646" s="11"/>
      <c r="C646" s="3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 x14ac:dyDescent="0.15">
      <c r="A647" s="3"/>
      <c r="B647" s="11"/>
      <c r="C647" s="3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 x14ac:dyDescent="0.15">
      <c r="A648" s="3"/>
      <c r="B648" s="11"/>
      <c r="C648" s="3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 x14ac:dyDescent="0.15">
      <c r="A649" s="3"/>
      <c r="B649" s="11"/>
      <c r="C649" s="3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 x14ac:dyDescent="0.15">
      <c r="A650" s="3"/>
      <c r="B650" s="11"/>
      <c r="C650" s="3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 x14ac:dyDescent="0.15">
      <c r="A651" s="3"/>
      <c r="B651" s="11"/>
      <c r="C651" s="3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 x14ac:dyDescent="0.15">
      <c r="A652" s="3"/>
      <c r="B652" s="11"/>
      <c r="C652" s="3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 x14ac:dyDescent="0.15">
      <c r="A653" s="3"/>
      <c r="B653" s="11"/>
      <c r="C653" s="3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 x14ac:dyDescent="0.15">
      <c r="A654" s="3"/>
      <c r="B654" s="11"/>
      <c r="C654" s="3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 x14ac:dyDescent="0.15">
      <c r="A655" s="3"/>
      <c r="B655" s="11"/>
      <c r="C655" s="3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 x14ac:dyDescent="0.15">
      <c r="A656" s="3"/>
      <c r="B656" s="11"/>
      <c r="C656" s="3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 x14ac:dyDescent="0.15">
      <c r="A657" s="3"/>
      <c r="B657" s="11"/>
      <c r="C657" s="3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 x14ac:dyDescent="0.15">
      <c r="A658" s="3"/>
      <c r="B658" s="11"/>
      <c r="C658" s="3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 x14ac:dyDescent="0.15">
      <c r="A659" s="3"/>
      <c r="B659" s="11"/>
      <c r="C659" s="3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 x14ac:dyDescent="0.15">
      <c r="A660" s="3"/>
      <c r="B660" s="11"/>
      <c r="C660" s="3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 x14ac:dyDescent="0.15">
      <c r="A661" s="3"/>
      <c r="B661" s="11"/>
      <c r="C661" s="3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 x14ac:dyDescent="0.15">
      <c r="A662" s="3"/>
      <c r="B662" s="11"/>
      <c r="C662" s="3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 x14ac:dyDescent="0.15">
      <c r="A663" s="3"/>
      <c r="B663" s="11"/>
      <c r="C663" s="3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 x14ac:dyDescent="0.15">
      <c r="A664" s="3"/>
      <c r="B664" s="11"/>
      <c r="C664" s="3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 x14ac:dyDescent="0.15">
      <c r="A665" s="3"/>
      <c r="B665" s="11"/>
      <c r="C665" s="3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 x14ac:dyDescent="0.15">
      <c r="A666" s="3"/>
      <c r="B666" s="11"/>
      <c r="C666" s="3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 x14ac:dyDescent="0.15">
      <c r="A667" s="3"/>
      <c r="B667" s="11"/>
      <c r="C667" s="3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 x14ac:dyDescent="0.15">
      <c r="A668" s="3"/>
      <c r="B668" s="11"/>
      <c r="C668" s="3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 x14ac:dyDescent="0.15">
      <c r="A669" s="3"/>
      <c r="B669" s="11"/>
      <c r="C669" s="3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 x14ac:dyDescent="0.15">
      <c r="A670" s="3"/>
      <c r="B670" s="11"/>
      <c r="C670" s="3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 x14ac:dyDescent="0.15">
      <c r="A671" s="3"/>
      <c r="B671" s="11"/>
      <c r="C671" s="3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 x14ac:dyDescent="0.15">
      <c r="A672" s="3"/>
      <c r="B672" s="11"/>
      <c r="C672" s="3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 x14ac:dyDescent="0.15">
      <c r="A673" s="3"/>
      <c r="B673" s="11"/>
      <c r="C673" s="3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 x14ac:dyDescent="0.15">
      <c r="A674" s="3"/>
      <c r="B674" s="11"/>
      <c r="C674" s="3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 x14ac:dyDescent="0.15">
      <c r="A675" s="3"/>
      <c r="B675" s="11"/>
      <c r="C675" s="3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 x14ac:dyDescent="0.15">
      <c r="A676" s="3"/>
      <c r="B676" s="11"/>
      <c r="C676" s="3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 x14ac:dyDescent="0.15">
      <c r="A677" s="3"/>
      <c r="B677" s="11"/>
      <c r="C677" s="3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 x14ac:dyDescent="0.15">
      <c r="A678" s="3"/>
      <c r="B678" s="11"/>
      <c r="C678" s="3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 x14ac:dyDescent="0.15">
      <c r="A679" s="3"/>
      <c r="B679" s="11"/>
      <c r="C679" s="3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 x14ac:dyDescent="0.15">
      <c r="A680" s="3"/>
      <c r="B680" s="11"/>
      <c r="C680" s="3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 x14ac:dyDescent="0.15">
      <c r="A681" s="3"/>
      <c r="B681" s="11"/>
      <c r="C681" s="3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 x14ac:dyDescent="0.15">
      <c r="A682" s="3"/>
      <c r="B682" s="11"/>
      <c r="C682" s="3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 x14ac:dyDescent="0.15">
      <c r="A683" s="3"/>
      <c r="B683" s="11"/>
      <c r="C683" s="3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 x14ac:dyDescent="0.15">
      <c r="A684" s="3"/>
      <c r="B684" s="11"/>
      <c r="C684" s="3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 x14ac:dyDescent="0.15">
      <c r="A685" s="3"/>
      <c r="B685" s="11"/>
      <c r="C685" s="3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 x14ac:dyDescent="0.15">
      <c r="A686" s="3"/>
      <c r="B686" s="11"/>
      <c r="C686" s="3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 x14ac:dyDescent="0.15">
      <c r="A687" s="3"/>
      <c r="B687" s="11"/>
      <c r="C687" s="3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 x14ac:dyDescent="0.15">
      <c r="A688" s="3"/>
      <c r="B688" s="11"/>
      <c r="C688" s="3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 x14ac:dyDescent="0.15">
      <c r="A689" s="3"/>
      <c r="B689" s="11"/>
      <c r="C689" s="3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 x14ac:dyDescent="0.15">
      <c r="A690" s="3"/>
      <c r="B690" s="11"/>
      <c r="C690" s="3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 x14ac:dyDescent="0.15">
      <c r="A691" s="3"/>
      <c r="B691" s="11"/>
      <c r="C691" s="3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 x14ac:dyDescent="0.15">
      <c r="A692" s="3"/>
      <c r="B692" s="11"/>
      <c r="C692" s="3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 x14ac:dyDescent="0.15">
      <c r="A693" s="3"/>
      <c r="B693" s="11"/>
      <c r="C693" s="3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 x14ac:dyDescent="0.15">
      <c r="A694" s="3"/>
      <c r="B694" s="11"/>
      <c r="C694" s="3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 x14ac:dyDescent="0.15">
      <c r="A695" s="3"/>
      <c r="B695" s="11"/>
      <c r="C695" s="3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 x14ac:dyDescent="0.15">
      <c r="A696" s="3"/>
      <c r="B696" s="11"/>
      <c r="C696" s="3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 x14ac:dyDescent="0.15">
      <c r="A697" s="3"/>
      <c r="B697" s="11"/>
      <c r="C697" s="3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 x14ac:dyDescent="0.15">
      <c r="A698" s="3"/>
      <c r="B698" s="11"/>
      <c r="C698" s="3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 x14ac:dyDescent="0.15">
      <c r="A699" s="3"/>
      <c r="B699" s="11"/>
      <c r="C699" s="3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 x14ac:dyDescent="0.15">
      <c r="A700" s="3"/>
      <c r="B700" s="11"/>
      <c r="C700" s="3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 x14ac:dyDescent="0.15">
      <c r="A701" s="3"/>
      <c r="B701" s="11"/>
      <c r="C701" s="3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 x14ac:dyDescent="0.15">
      <c r="A702" s="3"/>
      <c r="B702" s="11"/>
      <c r="C702" s="3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 x14ac:dyDescent="0.15">
      <c r="A703" s="3"/>
      <c r="B703" s="11"/>
      <c r="C703" s="3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 x14ac:dyDescent="0.15">
      <c r="A704" s="3"/>
      <c r="B704" s="11"/>
      <c r="C704" s="3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 x14ac:dyDescent="0.15">
      <c r="A705" s="3"/>
      <c r="B705" s="11"/>
      <c r="C705" s="3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 x14ac:dyDescent="0.15">
      <c r="A706" s="3"/>
      <c r="B706" s="11"/>
      <c r="C706" s="3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 x14ac:dyDescent="0.15">
      <c r="A707" s="3"/>
      <c r="B707" s="11"/>
      <c r="C707" s="3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 x14ac:dyDescent="0.15">
      <c r="A708" s="3"/>
      <c r="B708" s="11"/>
      <c r="C708" s="3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 x14ac:dyDescent="0.15">
      <c r="A709" s="3"/>
      <c r="B709" s="11"/>
      <c r="C709" s="3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 x14ac:dyDescent="0.15">
      <c r="A710" s="3"/>
      <c r="B710" s="11"/>
      <c r="C710" s="3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 x14ac:dyDescent="0.15">
      <c r="A711" s="3"/>
      <c r="B711" s="11"/>
      <c r="C711" s="3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 x14ac:dyDescent="0.15">
      <c r="A712" s="3"/>
      <c r="B712" s="11"/>
      <c r="C712" s="3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 x14ac:dyDescent="0.15">
      <c r="A713" s="3"/>
      <c r="B713" s="11"/>
      <c r="C713" s="3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 x14ac:dyDescent="0.15">
      <c r="A714" s="3"/>
      <c r="B714" s="11"/>
      <c r="C714" s="3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 x14ac:dyDescent="0.15">
      <c r="A715" s="3"/>
      <c r="B715" s="11"/>
      <c r="C715" s="3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 x14ac:dyDescent="0.15">
      <c r="A716" s="3"/>
      <c r="B716" s="11"/>
      <c r="C716" s="3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 x14ac:dyDescent="0.15">
      <c r="A717" s="3"/>
      <c r="B717" s="11"/>
      <c r="C717" s="3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 x14ac:dyDescent="0.15">
      <c r="A718" s="3"/>
      <c r="B718" s="11"/>
      <c r="C718" s="3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 x14ac:dyDescent="0.15">
      <c r="A719" s="3"/>
      <c r="B719" s="11"/>
      <c r="C719" s="3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 x14ac:dyDescent="0.15">
      <c r="A720" s="3"/>
      <c r="B720" s="11"/>
      <c r="C720" s="3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 x14ac:dyDescent="0.15">
      <c r="A721" s="3"/>
      <c r="B721" s="11"/>
      <c r="C721" s="3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 x14ac:dyDescent="0.15">
      <c r="A722" s="3"/>
      <c r="B722" s="11"/>
      <c r="C722" s="3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 x14ac:dyDescent="0.15">
      <c r="A723" s="3"/>
      <c r="B723" s="11"/>
      <c r="C723" s="3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 x14ac:dyDescent="0.15">
      <c r="A724" s="3"/>
      <c r="B724" s="11"/>
      <c r="C724" s="3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 x14ac:dyDescent="0.15">
      <c r="A725" s="3"/>
      <c r="B725" s="11"/>
      <c r="C725" s="3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 x14ac:dyDescent="0.15">
      <c r="A726" s="3"/>
      <c r="B726" s="11"/>
      <c r="C726" s="3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 x14ac:dyDescent="0.15">
      <c r="A727" s="3"/>
      <c r="B727" s="11"/>
      <c r="C727" s="3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 x14ac:dyDescent="0.15">
      <c r="A728" s="3"/>
      <c r="B728" s="11"/>
      <c r="C728" s="3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 x14ac:dyDescent="0.15">
      <c r="A729" s="3"/>
      <c r="B729" s="11"/>
      <c r="C729" s="3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 x14ac:dyDescent="0.15">
      <c r="A730" s="3"/>
      <c r="B730" s="11"/>
      <c r="C730" s="3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 x14ac:dyDescent="0.15">
      <c r="A731" s="3"/>
      <c r="B731" s="11"/>
      <c r="C731" s="3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 x14ac:dyDescent="0.15">
      <c r="A732" s="3"/>
      <c r="B732" s="11"/>
      <c r="C732" s="3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 x14ac:dyDescent="0.15">
      <c r="A733" s="3"/>
      <c r="B733" s="11"/>
      <c r="C733" s="3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 x14ac:dyDescent="0.15">
      <c r="A734" s="3"/>
      <c r="B734" s="11"/>
      <c r="C734" s="3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 x14ac:dyDescent="0.15">
      <c r="A735" s="3"/>
      <c r="B735" s="11"/>
      <c r="C735" s="3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 x14ac:dyDescent="0.15">
      <c r="A736" s="3"/>
      <c r="B736" s="11"/>
      <c r="C736" s="3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 x14ac:dyDescent="0.15">
      <c r="A737" s="3"/>
      <c r="B737" s="11"/>
      <c r="C737" s="3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 x14ac:dyDescent="0.15">
      <c r="A738" s="3"/>
      <c r="B738" s="11"/>
      <c r="C738" s="3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 x14ac:dyDescent="0.15">
      <c r="A739" s="3"/>
      <c r="B739" s="11"/>
      <c r="C739" s="3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 x14ac:dyDescent="0.15">
      <c r="A740" s="3"/>
      <c r="B740" s="11"/>
      <c r="C740" s="3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 x14ac:dyDescent="0.15">
      <c r="A741" s="3"/>
      <c r="B741" s="11"/>
      <c r="C741" s="3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 x14ac:dyDescent="0.15">
      <c r="A742" s="3"/>
      <c r="B742" s="11"/>
      <c r="C742" s="3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 x14ac:dyDescent="0.15">
      <c r="A743" s="3"/>
      <c r="B743" s="11"/>
      <c r="C743" s="3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 x14ac:dyDescent="0.15">
      <c r="A744" s="3"/>
      <c r="B744" s="11"/>
      <c r="C744" s="3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 x14ac:dyDescent="0.15">
      <c r="A745" s="3"/>
      <c r="B745" s="11"/>
      <c r="C745" s="3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 x14ac:dyDescent="0.15">
      <c r="A746" s="3"/>
      <c r="B746" s="11"/>
      <c r="C746" s="3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 x14ac:dyDescent="0.15">
      <c r="A747" s="3"/>
      <c r="B747" s="11"/>
      <c r="C747" s="3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 x14ac:dyDescent="0.15">
      <c r="A748" s="3"/>
      <c r="B748" s="11"/>
      <c r="C748" s="3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 x14ac:dyDescent="0.15">
      <c r="A749" s="3"/>
      <c r="B749" s="11"/>
      <c r="C749" s="3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 x14ac:dyDescent="0.15">
      <c r="A750" s="3"/>
      <c r="B750" s="11"/>
      <c r="C750" s="3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 x14ac:dyDescent="0.15">
      <c r="A751" s="3"/>
      <c r="B751" s="11"/>
      <c r="C751" s="3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 x14ac:dyDescent="0.15">
      <c r="A752" s="3"/>
      <c r="B752" s="11"/>
      <c r="C752" s="3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 x14ac:dyDescent="0.15">
      <c r="A753" s="3"/>
      <c r="B753" s="11"/>
      <c r="C753" s="3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 x14ac:dyDescent="0.15">
      <c r="A754" s="3"/>
      <c r="B754" s="11"/>
      <c r="C754" s="3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 x14ac:dyDescent="0.15">
      <c r="A755" s="3"/>
      <c r="B755" s="11"/>
      <c r="C755" s="3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 x14ac:dyDescent="0.15">
      <c r="A756" s="3"/>
      <c r="B756" s="11"/>
      <c r="C756" s="3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 x14ac:dyDescent="0.15">
      <c r="A757" s="3"/>
      <c r="B757" s="11"/>
      <c r="C757" s="3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 x14ac:dyDescent="0.15">
      <c r="A758" s="3"/>
      <c r="B758" s="11"/>
      <c r="C758" s="3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 x14ac:dyDescent="0.15">
      <c r="A759" s="3"/>
      <c r="B759" s="11"/>
      <c r="C759" s="3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 x14ac:dyDescent="0.15">
      <c r="A760" s="3"/>
      <c r="B760" s="11"/>
      <c r="C760" s="3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 x14ac:dyDescent="0.15">
      <c r="A761" s="3"/>
      <c r="B761" s="11"/>
      <c r="C761" s="3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 x14ac:dyDescent="0.15">
      <c r="A762" s="3"/>
      <c r="B762" s="11"/>
      <c r="C762" s="3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 x14ac:dyDescent="0.15">
      <c r="A763" s="3"/>
      <c r="B763" s="11"/>
      <c r="C763" s="3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 x14ac:dyDescent="0.15">
      <c r="A764" s="3"/>
      <c r="B764" s="11"/>
      <c r="C764" s="3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 x14ac:dyDescent="0.15">
      <c r="A765" s="3"/>
      <c r="B765" s="11"/>
      <c r="C765" s="3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 x14ac:dyDescent="0.15">
      <c r="A766" s="3"/>
      <c r="B766" s="11"/>
      <c r="C766" s="3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 x14ac:dyDescent="0.15">
      <c r="A767" s="3"/>
      <c r="B767" s="11"/>
      <c r="C767" s="3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 x14ac:dyDescent="0.15">
      <c r="A768" s="3"/>
      <c r="B768" s="11"/>
      <c r="C768" s="3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 x14ac:dyDescent="0.15">
      <c r="A769" s="3"/>
      <c r="B769" s="11"/>
      <c r="C769" s="3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 x14ac:dyDescent="0.15">
      <c r="A770" s="3"/>
      <c r="B770" s="11"/>
      <c r="C770" s="3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 x14ac:dyDescent="0.15">
      <c r="A771" s="3"/>
      <c r="B771" s="11"/>
      <c r="C771" s="3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 x14ac:dyDescent="0.15">
      <c r="A772" s="3"/>
      <c r="B772" s="11"/>
      <c r="C772" s="3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 x14ac:dyDescent="0.15">
      <c r="A773" s="3"/>
      <c r="B773" s="11"/>
      <c r="C773" s="3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 x14ac:dyDescent="0.15">
      <c r="A774" s="3"/>
      <c r="B774" s="11"/>
      <c r="C774" s="3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 x14ac:dyDescent="0.15">
      <c r="A775" s="3"/>
      <c r="B775" s="11"/>
      <c r="C775" s="3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 x14ac:dyDescent="0.15">
      <c r="A776" s="3"/>
      <c r="B776" s="11"/>
      <c r="C776" s="3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 x14ac:dyDescent="0.15">
      <c r="A777" s="3"/>
      <c r="B777" s="11"/>
      <c r="C777" s="3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 x14ac:dyDescent="0.15">
      <c r="A778" s="3"/>
      <c r="B778" s="11"/>
      <c r="C778" s="3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 x14ac:dyDescent="0.15">
      <c r="A779" s="3"/>
      <c r="B779" s="11"/>
      <c r="C779" s="3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 x14ac:dyDescent="0.15">
      <c r="A780" s="3"/>
      <c r="B780" s="11"/>
      <c r="C780" s="3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 x14ac:dyDescent="0.15">
      <c r="A781" s="3"/>
      <c r="B781" s="11"/>
      <c r="C781" s="3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 x14ac:dyDescent="0.15">
      <c r="A782" s="3"/>
      <c r="B782" s="11"/>
      <c r="C782" s="3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 x14ac:dyDescent="0.15">
      <c r="A783" s="3"/>
      <c r="B783" s="11"/>
      <c r="C783" s="3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 x14ac:dyDescent="0.15">
      <c r="A784" s="3"/>
      <c r="B784" s="11"/>
      <c r="C784" s="3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 x14ac:dyDescent="0.15">
      <c r="A785" s="3"/>
      <c r="B785" s="11"/>
      <c r="C785" s="3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 x14ac:dyDescent="0.15">
      <c r="A786" s="3"/>
      <c r="B786" s="11"/>
      <c r="C786" s="3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 x14ac:dyDescent="0.15">
      <c r="A787" s="3"/>
      <c r="B787" s="11"/>
      <c r="C787" s="3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 x14ac:dyDescent="0.15">
      <c r="A788" s="3"/>
      <c r="B788" s="11"/>
      <c r="C788" s="3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 x14ac:dyDescent="0.15">
      <c r="A789" s="3"/>
      <c r="B789" s="11"/>
      <c r="C789" s="3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 x14ac:dyDescent="0.15">
      <c r="A790" s="3"/>
      <c r="B790" s="11"/>
      <c r="C790" s="3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 x14ac:dyDescent="0.15">
      <c r="A791" s="3"/>
      <c r="B791" s="11"/>
      <c r="C791" s="3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 x14ac:dyDescent="0.15">
      <c r="A792" s="3"/>
      <c r="B792" s="11"/>
      <c r="C792" s="3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 x14ac:dyDescent="0.15">
      <c r="A793" s="3"/>
      <c r="B793" s="11"/>
      <c r="C793" s="3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 x14ac:dyDescent="0.15">
      <c r="A794" s="3"/>
      <c r="B794" s="11"/>
      <c r="C794" s="3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 x14ac:dyDescent="0.15">
      <c r="A795" s="3"/>
      <c r="B795" s="11"/>
      <c r="C795" s="3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 x14ac:dyDescent="0.15">
      <c r="A796" s="3"/>
      <c r="B796" s="11"/>
      <c r="C796" s="3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 x14ac:dyDescent="0.15">
      <c r="A797" s="3"/>
      <c r="B797" s="11"/>
      <c r="C797" s="3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 x14ac:dyDescent="0.15">
      <c r="A798" s="3"/>
      <c r="B798" s="11"/>
      <c r="C798" s="3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 x14ac:dyDescent="0.15">
      <c r="A799" s="3"/>
      <c r="B799" s="11"/>
      <c r="C799" s="3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 x14ac:dyDescent="0.15">
      <c r="A800" s="3"/>
      <c r="B800" s="11"/>
      <c r="C800" s="3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 x14ac:dyDescent="0.15">
      <c r="A801" s="3"/>
      <c r="B801" s="11"/>
      <c r="C801" s="3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 x14ac:dyDescent="0.15">
      <c r="A802" s="3"/>
      <c r="B802" s="11"/>
      <c r="C802" s="3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 x14ac:dyDescent="0.15">
      <c r="A803" s="3"/>
      <c r="B803" s="11"/>
      <c r="C803" s="3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 x14ac:dyDescent="0.15">
      <c r="A804" s="3"/>
      <c r="B804" s="11"/>
      <c r="C804" s="3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 x14ac:dyDescent="0.15">
      <c r="A805" s="3"/>
      <c r="B805" s="11"/>
      <c r="C805" s="3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 x14ac:dyDescent="0.15">
      <c r="A806" s="3"/>
      <c r="B806" s="11"/>
      <c r="C806" s="3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 x14ac:dyDescent="0.15">
      <c r="A807" s="3"/>
      <c r="B807" s="11"/>
      <c r="C807" s="3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 x14ac:dyDescent="0.15">
      <c r="A808" s="3"/>
      <c r="B808" s="11"/>
      <c r="C808" s="3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 x14ac:dyDescent="0.15">
      <c r="A809" s="3"/>
      <c r="B809" s="11"/>
      <c r="C809" s="3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 x14ac:dyDescent="0.15">
      <c r="A810" s="3"/>
      <c r="B810" s="11"/>
      <c r="C810" s="3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 x14ac:dyDescent="0.15">
      <c r="A811" s="3"/>
      <c r="B811" s="11"/>
      <c r="C811" s="3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 x14ac:dyDescent="0.15">
      <c r="A812" s="3"/>
      <c r="B812" s="11"/>
      <c r="C812" s="3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 x14ac:dyDescent="0.15">
      <c r="A813" s="3"/>
      <c r="B813" s="11"/>
      <c r="C813" s="3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 x14ac:dyDescent="0.15">
      <c r="A814" s="3"/>
      <c r="B814" s="11"/>
      <c r="C814" s="3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 x14ac:dyDescent="0.15">
      <c r="A815" s="3"/>
      <c r="B815" s="11"/>
      <c r="C815" s="3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 x14ac:dyDescent="0.15">
      <c r="A816" s="3"/>
      <c r="B816" s="11"/>
      <c r="C816" s="3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 x14ac:dyDescent="0.15">
      <c r="A817" s="3"/>
      <c r="B817" s="11"/>
      <c r="C817" s="3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 x14ac:dyDescent="0.15">
      <c r="A818" s="3"/>
      <c r="B818" s="11"/>
      <c r="C818" s="3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 x14ac:dyDescent="0.15">
      <c r="A819" s="3"/>
      <c r="B819" s="11"/>
      <c r="C819" s="3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 x14ac:dyDescent="0.15">
      <c r="A820" s="3"/>
      <c r="B820" s="11"/>
      <c r="C820" s="3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 x14ac:dyDescent="0.15">
      <c r="A821" s="3"/>
      <c r="B821" s="11"/>
      <c r="C821" s="3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 x14ac:dyDescent="0.15">
      <c r="A822" s="3"/>
      <c r="B822" s="11"/>
      <c r="C822" s="3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 x14ac:dyDescent="0.15">
      <c r="A823" s="3"/>
      <c r="B823" s="11"/>
      <c r="C823" s="3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 x14ac:dyDescent="0.15">
      <c r="A824" s="3"/>
      <c r="B824" s="11"/>
      <c r="C824" s="3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 x14ac:dyDescent="0.15">
      <c r="A825" s="3"/>
      <c r="B825" s="11"/>
      <c r="C825" s="3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 x14ac:dyDescent="0.15">
      <c r="A826" s="3"/>
      <c r="B826" s="11"/>
      <c r="C826" s="3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 x14ac:dyDescent="0.15">
      <c r="A827" s="3"/>
      <c r="B827" s="11"/>
      <c r="C827" s="3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 x14ac:dyDescent="0.15">
      <c r="A828" s="3"/>
      <c r="B828" s="11"/>
      <c r="C828" s="3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 x14ac:dyDescent="0.15">
      <c r="A829" s="3"/>
      <c r="B829" s="11"/>
      <c r="C829" s="3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 x14ac:dyDescent="0.15">
      <c r="A830" s="3"/>
      <c r="B830" s="11"/>
      <c r="C830" s="3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 x14ac:dyDescent="0.15">
      <c r="A831" s="3"/>
      <c r="B831" s="11"/>
      <c r="C831" s="3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 x14ac:dyDescent="0.15">
      <c r="A832" s="3"/>
      <c r="B832" s="11"/>
      <c r="C832" s="3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 x14ac:dyDescent="0.15">
      <c r="A833" s="3"/>
      <c r="B833" s="11"/>
      <c r="C833" s="3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 x14ac:dyDescent="0.15">
      <c r="A834" s="3"/>
      <c r="B834" s="11"/>
      <c r="C834" s="3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 x14ac:dyDescent="0.15">
      <c r="A835" s="3"/>
      <c r="B835" s="11"/>
      <c r="C835" s="3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 x14ac:dyDescent="0.15">
      <c r="A836" s="3"/>
      <c r="B836" s="11"/>
      <c r="C836" s="3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 x14ac:dyDescent="0.15">
      <c r="A837" s="3"/>
      <c r="B837" s="11"/>
      <c r="C837" s="3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 x14ac:dyDescent="0.15">
      <c r="A838" s="3"/>
      <c r="B838" s="11"/>
      <c r="C838" s="3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 x14ac:dyDescent="0.15">
      <c r="A839" s="3"/>
      <c r="B839" s="11"/>
      <c r="C839" s="3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 x14ac:dyDescent="0.15">
      <c r="A840" s="3"/>
      <c r="B840" s="11"/>
      <c r="C840" s="3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 x14ac:dyDescent="0.15">
      <c r="A841" s="3"/>
      <c r="B841" s="11"/>
      <c r="C841" s="3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 x14ac:dyDescent="0.15">
      <c r="A842" s="3"/>
      <c r="B842" s="11"/>
      <c r="C842" s="3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 x14ac:dyDescent="0.15">
      <c r="A843" s="3"/>
      <c r="B843" s="11"/>
      <c r="C843" s="3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 x14ac:dyDescent="0.15">
      <c r="A844" s="3"/>
      <c r="B844" s="11"/>
      <c r="C844" s="3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 x14ac:dyDescent="0.15">
      <c r="A845" s="3"/>
      <c r="B845" s="11"/>
      <c r="C845" s="3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 x14ac:dyDescent="0.15">
      <c r="A846" s="3"/>
      <c r="B846" s="11"/>
      <c r="C846" s="3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 x14ac:dyDescent="0.15">
      <c r="A847" s="3"/>
      <c r="B847" s="11"/>
      <c r="C847" s="3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 x14ac:dyDescent="0.15">
      <c r="A848" s="3"/>
      <c r="B848" s="11"/>
      <c r="C848" s="3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 x14ac:dyDescent="0.15">
      <c r="A849" s="3"/>
      <c r="B849" s="11"/>
      <c r="C849" s="3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 x14ac:dyDescent="0.15">
      <c r="A850" s="3"/>
      <c r="B850" s="11"/>
      <c r="C850" s="3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 x14ac:dyDescent="0.15">
      <c r="A851" s="3"/>
      <c r="B851" s="11"/>
      <c r="C851" s="3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 x14ac:dyDescent="0.15">
      <c r="A852" s="3"/>
      <c r="B852" s="11"/>
      <c r="C852" s="3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 x14ac:dyDescent="0.15">
      <c r="A853" s="3"/>
      <c r="B853" s="11"/>
      <c r="C853" s="3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 x14ac:dyDescent="0.15">
      <c r="A854" s="3"/>
      <c r="B854" s="11"/>
      <c r="C854" s="3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 x14ac:dyDescent="0.15">
      <c r="A855" s="3"/>
      <c r="B855" s="11"/>
      <c r="C855" s="3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 x14ac:dyDescent="0.15">
      <c r="A856" s="3"/>
      <c r="B856" s="11"/>
      <c r="C856" s="3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 x14ac:dyDescent="0.15">
      <c r="A857" s="3"/>
      <c r="B857" s="11"/>
      <c r="C857" s="3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 x14ac:dyDescent="0.15">
      <c r="A858" s="3"/>
      <c r="B858" s="11"/>
      <c r="C858" s="3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 x14ac:dyDescent="0.15">
      <c r="A859" s="3"/>
      <c r="B859" s="11"/>
      <c r="C859" s="3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 x14ac:dyDescent="0.15">
      <c r="A860" s="3"/>
      <c r="B860" s="11"/>
      <c r="C860" s="3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 x14ac:dyDescent="0.15">
      <c r="A861" s="3"/>
      <c r="B861" s="11"/>
      <c r="C861" s="3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 x14ac:dyDescent="0.15">
      <c r="A862" s="3"/>
      <c r="B862" s="11"/>
      <c r="C862" s="3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 x14ac:dyDescent="0.15">
      <c r="A863" s="3"/>
      <c r="B863" s="11"/>
      <c r="C863" s="3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 x14ac:dyDescent="0.15">
      <c r="A864" s="3"/>
      <c r="B864" s="11"/>
      <c r="C864" s="3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 x14ac:dyDescent="0.15">
      <c r="A865" s="3"/>
      <c r="B865" s="11"/>
      <c r="C865" s="3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 x14ac:dyDescent="0.15">
      <c r="A866" s="3"/>
      <c r="B866" s="11"/>
      <c r="C866" s="3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 x14ac:dyDescent="0.15">
      <c r="A867" s="3"/>
      <c r="B867" s="11"/>
      <c r="C867" s="3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 x14ac:dyDescent="0.15">
      <c r="A868" s="3"/>
      <c r="B868" s="11"/>
      <c r="C868" s="3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 x14ac:dyDescent="0.15">
      <c r="A869" s="3"/>
      <c r="B869" s="11"/>
      <c r="C869" s="3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 x14ac:dyDescent="0.15">
      <c r="A870" s="3"/>
      <c r="B870" s="11"/>
      <c r="C870" s="3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 x14ac:dyDescent="0.15">
      <c r="A871" s="3"/>
      <c r="B871" s="11"/>
      <c r="C871" s="3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 x14ac:dyDescent="0.15">
      <c r="A872" s="3"/>
      <c r="B872" s="11"/>
      <c r="C872" s="3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 x14ac:dyDescent="0.15">
      <c r="A873" s="3"/>
      <c r="B873" s="11"/>
      <c r="C873" s="3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 x14ac:dyDescent="0.15">
      <c r="A874" s="3"/>
      <c r="B874" s="11"/>
      <c r="C874" s="3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 x14ac:dyDescent="0.15">
      <c r="A875" s="3"/>
      <c r="B875" s="11"/>
      <c r="C875" s="3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 x14ac:dyDescent="0.15">
      <c r="A876" s="3"/>
      <c r="B876" s="11"/>
      <c r="C876" s="3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 x14ac:dyDescent="0.15">
      <c r="A877" s="3"/>
      <c r="B877" s="11"/>
      <c r="C877" s="3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 x14ac:dyDescent="0.15">
      <c r="A878" s="3"/>
      <c r="B878" s="11"/>
      <c r="C878" s="3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 x14ac:dyDescent="0.15">
      <c r="A879" s="3"/>
      <c r="B879" s="11"/>
      <c r="C879" s="3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 x14ac:dyDescent="0.15">
      <c r="A880" s="3"/>
      <c r="B880" s="11"/>
      <c r="C880" s="3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 x14ac:dyDescent="0.15">
      <c r="A881" s="3"/>
      <c r="B881" s="11"/>
      <c r="C881" s="3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 x14ac:dyDescent="0.15">
      <c r="A882" s="3"/>
      <c r="B882" s="11"/>
      <c r="C882" s="3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 x14ac:dyDescent="0.15">
      <c r="A883" s="3"/>
      <c r="B883" s="11"/>
      <c r="C883" s="3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 x14ac:dyDescent="0.15">
      <c r="A884" s="3"/>
      <c r="B884" s="11"/>
      <c r="C884" s="3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 x14ac:dyDescent="0.15">
      <c r="A885" s="3"/>
      <c r="B885" s="11"/>
      <c r="C885" s="3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 x14ac:dyDescent="0.15">
      <c r="A886" s="3"/>
      <c r="B886" s="11"/>
      <c r="C886" s="3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 x14ac:dyDescent="0.15">
      <c r="A887" s="3"/>
      <c r="B887" s="11"/>
      <c r="C887" s="3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 x14ac:dyDescent="0.15">
      <c r="A888" s="3"/>
      <c r="B888" s="11"/>
      <c r="C888" s="3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 x14ac:dyDescent="0.15">
      <c r="A889" s="3"/>
      <c r="B889" s="11"/>
      <c r="C889" s="3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 x14ac:dyDescent="0.15">
      <c r="A890" s="3"/>
      <c r="B890" s="11"/>
      <c r="C890" s="3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 x14ac:dyDescent="0.15">
      <c r="A891" s="3"/>
      <c r="B891" s="11"/>
      <c r="C891" s="3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 x14ac:dyDescent="0.15">
      <c r="A892" s="3"/>
      <c r="B892" s="11"/>
      <c r="C892" s="3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 x14ac:dyDescent="0.15">
      <c r="A893" s="3"/>
      <c r="B893" s="11"/>
      <c r="C893" s="3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 x14ac:dyDescent="0.15">
      <c r="A894" s="3"/>
      <c r="B894" s="11"/>
      <c r="C894" s="3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 x14ac:dyDescent="0.15">
      <c r="A895" s="3"/>
      <c r="B895" s="11"/>
      <c r="C895" s="3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 x14ac:dyDescent="0.15">
      <c r="A896" s="3"/>
      <c r="B896" s="11"/>
      <c r="C896" s="3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 x14ac:dyDescent="0.15">
      <c r="A897" s="3"/>
      <c r="B897" s="11"/>
      <c r="C897" s="3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 x14ac:dyDescent="0.15">
      <c r="A898" s="3"/>
      <c r="B898" s="11"/>
      <c r="C898" s="3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 x14ac:dyDescent="0.15">
      <c r="A899" s="3"/>
      <c r="B899" s="11"/>
      <c r="C899" s="3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 x14ac:dyDescent="0.15">
      <c r="A900" s="3"/>
      <c r="B900" s="11"/>
      <c r="C900" s="3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 x14ac:dyDescent="0.15">
      <c r="A901" s="3"/>
      <c r="B901" s="11"/>
      <c r="C901" s="3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 x14ac:dyDescent="0.15">
      <c r="A902" s="3"/>
      <c r="B902" s="11"/>
      <c r="C902" s="3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 x14ac:dyDescent="0.15">
      <c r="A903" s="3"/>
      <c r="B903" s="11"/>
      <c r="C903" s="3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 x14ac:dyDescent="0.15">
      <c r="A904" s="3"/>
      <c r="B904" s="11"/>
      <c r="C904" s="3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 x14ac:dyDescent="0.15">
      <c r="A905" s="3"/>
      <c r="B905" s="11"/>
      <c r="C905" s="3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 x14ac:dyDescent="0.15">
      <c r="A906" s="3"/>
      <c r="B906" s="11"/>
      <c r="C906" s="3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 x14ac:dyDescent="0.15">
      <c r="A907" s="3"/>
      <c r="B907" s="11"/>
      <c r="C907" s="3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 x14ac:dyDescent="0.15">
      <c r="A908" s="3"/>
      <c r="B908" s="11"/>
      <c r="C908" s="3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 x14ac:dyDescent="0.15">
      <c r="A909" s="3"/>
      <c r="B909" s="11"/>
      <c r="C909" s="3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 x14ac:dyDescent="0.15">
      <c r="A910" s="3"/>
      <c r="B910" s="11"/>
      <c r="C910" s="3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 x14ac:dyDescent="0.15">
      <c r="A911" s="3"/>
      <c r="B911" s="11"/>
      <c r="C911" s="3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 x14ac:dyDescent="0.15">
      <c r="A912" s="3"/>
      <c r="B912" s="11"/>
      <c r="C912" s="3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 x14ac:dyDescent="0.15">
      <c r="A913" s="3"/>
      <c r="B913" s="11"/>
      <c r="C913" s="3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 x14ac:dyDescent="0.15">
      <c r="A914" s="3"/>
      <c r="B914" s="11"/>
      <c r="C914" s="3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 x14ac:dyDescent="0.15">
      <c r="A915" s="3"/>
      <c r="B915" s="11"/>
      <c r="C915" s="3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 x14ac:dyDescent="0.15">
      <c r="A916" s="3"/>
      <c r="B916" s="11"/>
      <c r="C916" s="3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 x14ac:dyDescent="0.15">
      <c r="A917" s="3"/>
      <c r="B917" s="11"/>
      <c r="C917" s="3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 x14ac:dyDescent="0.15">
      <c r="A918" s="3"/>
      <c r="B918" s="11"/>
      <c r="C918" s="3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 x14ac:dyDescent="0.15">
      <c r="A919" s="3"/>
      <c r="B919" s="11"/>
      <c r="C919" s="3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 x14ac:dyDescent="0.15">
      <c r="A920" s="3"/>
      <c r="B920" s="11"/>
      <c r="C920" s="3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 x14ac:dyDescent="0.15">
      <c r="A921" s="3"/>
      <c r="B921" s="11"/>
      <c r="C921" s="3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 x14ac:dyDescent="0.15">
      <c r="A922" s="3"/>
      <c r="B922" s="11"/>
      <c r="C922" s="3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 x14ac:dyDescent="0.15">
      <c r="A923" s="3"/>
      <c r="B923" s="11"/>
      <c r="C923" s="3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 x14ac:dyDescent="0.15">
      <c r="A924" s="3"/>
      <c r="B924" s="11"/>
      <c r="C924" s="3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 x14ac:dyDescent="0.15">
      <c r="A925" s="3"/>
      <c r="B925" s="11"/>
      <c r="C925" s="3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 x14ac:dyDescent="0.15">
      <c r="A926" s="3"/>
      <c r="B926" s="11"/>
      <c r="C926" s="3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 x14ac:dyDescent="0.15">
      <c r="A927" s="3"/>
      <c r="B927" s="11"/>
      <c r="C927" s="3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 x14ac:dyDescent="0.15">
      <c r="A928" s="3"/>
      <c r="B928" s="11"/>
      <c r="C928" s="3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customHeight="1" x14ac:dyDescent="0.15">
      <c r="A929" s="3"/>
      <c r="B929" s="11"/>
      <c r="C929" s="3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customHeight="1" x14ac:dyDescent="0.15">
      <c r="A930" s="3"/>
      <c r="B930" s="11"/>
      <c r="C930" s="3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customHeight="1" x14ac:dyDescent="0.15">
      <c r="A931" s="3"/>
      <c r="B931" s="11"/>
      <c r="C931" s="3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customHeight="1" x14ac:dyDescent="0.15">
      <c r="A932" s="3"/>
      <c r="B932" s="11"/>
      <c r="C932" s="3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customHeight="1" x14ac:dyDescent="0.15">
      <c r="A933" s="3"/>
      <c r="B933" s="11"/>
      <c r="C933" s="3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customHeight="1" x14ac:dyDescent="0.15">
      <c r="A934" s="3"/>
      <c r="B934" s="11"/>
      <c r="C934" s="3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customHeight="1" x14ac:dyDescent="0.15">
      <c r="A935" s="3"/>
      <c r="B935" s="11"/>
      <c r="C935" s="3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customHeight="1" x14ac:dyDescent="0.15">
      <c r="A936" s="3"/>
      <c r="B936" s="11"/>
      <c r="C936" s="3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customHeight="1" x14ac:dyDescent="0.15">
      <c r="A937" s="3"/>
      <c r="B937" s="11"/>
      <c r="C937" s="3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customHeight="1" x14ac:dyDescent="0.15">
      <c r="A938" s="3"/>
      <c r="B938" s="11"/>
      <c r="C938" s="3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customHeight="1" x14ac:dyDescent="0.15">
      <c r="A939" s="3"/>
      <c r="B939" s="11"/>
      <c r="C939" s="3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customHeight="1" x14ac:dyDescent="0.15">
      <c r="A940" s="3"/>
      <c r="B940" s="11"/>
      <c r="C940" s="3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customHeight="1" x14ac:dyDescent="0.15">
      <c r="A941" s="3"/>
      <c r="B941" s="11"/>
      <c r="C941" s="3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customHeight="1" x14ac:dyDescent="0.15">
      <c r="A942" s="3"/>
      <c r="B942" s="11"/>
      <c r="C942" s="3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customHeight="1" x14ac:dyDescent="0.15">
      <c r="A943" s="3"/>
      <c r="B943" s="11"/>
      <c r="C943" s="3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customHeight="1" x14ac:dyDescent="0.15">
      <c r="A944" s="3"/>
      <c r="B944" s="11"/>
      <c r="C944" s="3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customHeight="1" x14ac:dyDescent="0.15">
      <c r="A945" s="3"/>
      <c r="B945" s="11"/>
      <c r="C945" s="3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customHeight="1" x14ac:dyDescent="0.15">
      <c r="A946" s="3"/>
      <c r="B946" s="11"/>
      <c r="C946" s="3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customHeight="1" x14ac:dyDescent="0.15">
      <c r="A947" s="3"/>
      <c r="B947" s="11"/>
      <c r="C947" s="3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customHeight="1" x14ac:dyDescent="0.15">
      <c r="A948" s="3"/>
      <c r="B948" s="11"/>
      <c r="C948" s="3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customHeight="1" x14ac:dyDescent="0.15">
      <c r="A949" s="3"/>
      <c r="B949" s="11"/>
      <c r="C949" s="3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customHeight="1" x14ac:dyDescent="0.15">
      <c r="A950" s="3"/>
      <c r="B950" s="11"/>
      <c r="C950" s="3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customHeight="1" x14ac:dyDescent="0.15">
      <c r="A951" s="3"/>
      <c r="B951" s="11"/>
      <c r="C951" s="3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customHeight="1" x14ac:dyDescent="0.15">
      <c r="A952" s="3"/>
      <c r="B952" s="11"/>
      <c r="C952" s="3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customHeight="1" x14ac:dyDescent="0.15">
      <c r="A953" s="3"/>
      <c r="B953" s="11"/>
      <c r="C953" s="3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customHeight="1" x14ac:dyDescent="0.15">
      <c r="A954" s="3"/>
      <c r="B954" s="11"/>
      <c r="C954" s="3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customHeight="1" x14ac:dyDescent="0.15">
      <c r="A955" s="3"/>
      <c r="B955" s="11"/>
      <c r="C955" s="3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 customHeight="1" x14ac:dyDescent="0.15">
      <c r="A956" s="3"/>
      <c r="B956" s="11"/>
      <c r="C956" s="3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 customHeight="1" x14ac:dyDescent="0.15">
      <c r="A957" s="3"/>
      <c r="B957" s="11"/>
      <c r="C957" s="3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 customHeight="1" x14ac:dyDescent="0.15">
      <c r="A958" s="3"/>
      <c r="B958" s="11"/>
      <c r="C958" s="3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 customHeight="1" x14ac:dyDescent="0.15">
      <c r="A959" s="3"/>
      <c r="B959" s="11"/>
      <c r="C959" s="3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 customHeight="1" x14ac:dyDescent="0.15">
      <c r="A960" s="3"/>
      <c r="B960" s="11"/>
      <c r="C960" s="3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 customHeight="1" x14ac:dyDescent="0.15">
      <c r="A961" s="3"/>
      <c r="B961" s="11"/>
      <c r="C961" s="3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 customHeight="1" x14ac:dyDescent="0.15">
      <c r="A962" s="3"/>
      <c r="B962" s="11"/>
      <c r="C962" s="3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 customHeight="1" x14ac:dyDescent="0.15">
      <c r="A963" s="3"/>
      <c r="B963" s="11"/>
      <c r="C963" s="3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 customHeight="1" x14ac:dyDescent="0.15">
      <c r="A964" s="3"/>
      <c r="B964" s="11"/>
      <c r="C964" s="3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 customHeight="1" x14ac:dyDescent="0.15">
      <c r="A965" s="3"/>
      <c r="B965" s="11"/>
      <c r="C965" s="3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 customHeight="1" x14ac:dyDescent="0.15">
      <c r="A966" s="3"/>
      <c r="B966" s="11"/>
      <c r="C966" s="3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 customHeight="1" x14ac:dyDescent="0.15">
      <c r="A967" s="3"/>
      <c r="B967" s="11"/>
      <c r="C967" s="3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 customHeight="1" x14ac:dyDescent="0.15">
      <c r="A968" s="3"/>
      <c r="B968" s="11"/>
      <c r="C968" s="3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 customHeight="1" x14ac:dyDescent="0.15">
      <c r="A969" s="3"/>
      <c r="B969" s="11"/>
      <c r="C969" s="3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 customHeight="1" x14ac:dyDescent="0.15">
      <c r="A970" s="3"/>
      <c r="B970" s="11"/>
      <c r="C970" s="3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 customHeight="1" x14ac:dyDescent="0.15">
      <c r="A971" s="3"/>
      <c r="B971" s="11"/>
      <c r="C971" s="3"/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 customHeight="1" x14ac:dyDescent="0.15">
      <c r="A972" s="3"/>
      <c r="B972" s="11"/>
      <c r="C972" s="3"/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 customHeight="1" x14ac:dyDescent="0.15">
      <c r="A973" s="3"/>
      <c r="B973" s="11"/>
      <c r="C973" s="3"/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 customHeight="1" x14ac:dyDescent="0.15">
      <c r="A974" s="3"/>
      <c r="B974" s="11"/>
      <c r="C974" s="3"/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 customHeight="1" x14ac:dyDescent="0.15">
      <c r="A975" s="3"/>
      <c r="B975" s="11"/>
      <c r="C975" s="3"/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 customHeight="1" x14ac:dyDescent="0.15">
      <c r="A976" s="3"/>
      <c r="B976" s="11"/>
      <c r="C976" s="3"/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 customHeight="1" x14ac:dyDescent="0.15">
      <c r="A977" s="3"/>
      <c r="B977" s="11"/>
      <c r="C977" s="3"/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 customHeight="1" x14ac:dyDescent="0.15">
      <c r="A978" s="3"/>
      <c r="B978" s="11"/>
      <c r="C978" s="3"/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 customHeight="1" x14ac:dyDescent="0.15">
      <c r="A979" s="3"/>
      <c r="B979" s="11"/>
      <c r="C979" s="3"/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 customHeight="1" x14ac:dyDescent="0.15">
      <c r="A980" s="3"/>
      <c r="B980" s="11"/>
      <c r="C980" s="3"/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 customHeight="1" x14ac:dyDescent="0.15">
      <c r="A981" s="3"/>
      <c r="B981" s="11"/>
      <c r="C981" s="3"/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 customHeight="1" x14ac:dyDescent="0.15">
      <c r="A982" s="3"/>
      <c r="B982" s="11"/>
      <c r="C982" s="3"/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 customHeight="1" x14ac:dyDescent="0.15">
      <c r="A983" s="3"/>
      <c r="B983" s="11"/>
      <c r="C983" s="3"/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 customHeight="1" x14ac:dyDescent="0.15">
      <c r="A984" s="3"/>
      <c r="B984" s="11"/>
      <c r="C984" s="3"/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 customHeight="1" x14ac:dyDescent="0.15">
      <c r="A985" s="3"/>
      <c r="B985" s="11"/>
      <c r="C985" s="3"/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 customHeight="1" x14ac:dyDescent="0.15">
      <c r="A986" s="3"/>
      <c r="B986" s="11"/>
      <c r="C986" s="3"/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 customHeight="1" x14ac:dyDescent="0.15">
      <c r="A987" s="3"/>
      <c r="B987" s="11"/>
      <c r="C987" s="3"/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 customHeight="1" x14ac:dyDescent="0.15">
      <c r="A988" s="3"/>
      <c r="B988" s="11"/>
      <c r="C988" s="3"/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 customHeight="1" x14ac:dyDescent="0.15">
      <c r="A989" s="3"/>
      <c r="B989" s="11"/>
      <c r="C989" s="3"/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 customHeight="1" x14ac:dyDescent="0.15">
      <c r="A990" s="3"/>
      <c r="B990" s="11"/>
      <c r="C990" s="3"/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 customHeight="1" x14ac:dyDescent="0.15">
      <c r="A991" s="3"/>
      <c r="B991" s="11"/>
      <c r="C991" s="3"/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 customHeight="1" x14ac:dyDescent="0.15">
      <c r="A992" s="3"/>
      <c r="B992" s="11"/>
      <c r="C992" s="3"/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 customHeight="1" x14ac:dyDescent="0.15">
      <c r="A993" s="3"/>
      <c r="B993" s="11"/>
      <c r="C993" s="3"/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 customHeight="1" x14ac:dyDescent="0.15">
      <c r="A994" s="3"/>
      <c r="B994" s="11"/>
      <c r="C994" s="3"/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5" customHeight="1" x14ac:dyDescent="0.15">
      <c r="A995" s="3"/>
      <c r="B995" s="11"/>
      <c r="C995" s="3"/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5" customHeight="1" x14ac:dyDescent="0.15">
      <c r="A996" s="3"/>
      <c r="B996" s="11"/>
      <c r="C996" s="3"/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5" customHeight="1" x14ac:dyDescent="0.15">
      <c r="A997" s="3"/>
      <c r="B997" s="11"/>
      <c r="C997" s="3"/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5" customHeight="1" x14ac:dyDescent="0.15">
      <c r="A998" s="3"/>
      <c r="B998" s="11"/>
      <c r="C998" s="3"/>
      <c r="D998" s="4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5" customHeight="1" x14ac:dyDescent="0.15">
      <c r="A999" s="3"/>
      <c r="B999" s="11"/>
      <c r="C999" s="3"/>
      <c r="D999" s="4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5" customHeight="1" x14ac:dyDescent="0.15">
      <c r="A1000" s="3"/>
      <c r="B1000" s="11"/>
      <c r="C1000" s="3"/>
      <c r="D1000" s="4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8">
    <mergeCell ref="B41:D41"/>
    <mergeCell ref="B42:D42"/>
    <mergeCell ref="A6:B6"/>
    <mergeCell ref="C6:E6"/>
    <mergeCell ref="F6:K6"/>
    <mergeCell ref="A7:B7"/>
    <mergeCell ref="C7:E7"/>
    <mergeCell ref="F7:K7"/>
    <mergeCell ref="O6:T6"/>
    <mergeCell ref="O7:T7"/>
    <mergeCell ref="D19:E19"/>
    <mergeCell ref="B39:D39"/>
    <mergeCell ref="B40:D40"/>
    <mergeCell ref="L6:N6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C3:E3"/>
    <mergeCell ref="F3:K3"/>
    <mergeCell ref="L3:N3"/>
    <mergeCell ref="A3:B3"/>
  </mergeCells>
  <dataValidations count="3">
    <dataValidation type="list" allowBlank="1" showInputMessage="1" showErrorMessage="1" prompt=" - " sqref="F10:T38" xr:uid="{00000000-0002-0000-0400-000000000000}">
      <formula1>"O"</formula1>
    </dataValidation>
    <dataValidation type="list" allowBlank="1" showInputMessage="1" showErrorMessage="1" prompt=" - " sqref="F39:T39" xr:uid="{00000000-0002-0000-0400-000001000000}">
      <formula1>"N,A,B"</formula1>
    </dataValidation>
    <dataValidation type="list" allowBlank="1" showInputMessage="1" showErrorMessage="1" prompt=" - " sqref="F40:T40" xr:uid="{00000000-0002-0000-04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13"/>
  <sheetViews>
    <sheetView workbookViewId="0">
      <pane ySplit="9" topLeftCell="A10" activePane="bottomLeft" state="frozen"/>
      <selection pane="bottomLeft" activeCell="B11" sqref="B11"/>
    </sheetView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1" width="2.875" customWidth="1"/>
    <col min="22" max="23" width="9" customWidth="1"/>
    <col min="24" max="26" width="10" customWidth="1"/>
  </cols>
  <sheetData>
    <row r="1" spans="1:26" ht="22.5" customHeight="1" x14ac:dyDescent="0.15">
      <c r="A1" s="3"/>
      <c r="B1" s="11"/>
      <c r="C1" s="3"/>
      <c r="D1" s="69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15">
      <c r="A2" s="132" t="s">
        <v>8</v>
      </c>
      <c r="B2" s="136"/>
      <c r="C2" s="134" t="e">
        <f>#REF!</f>
        <v>#REF!</v>
      </c>
      <c r="D2" s="136"/>
      <c r="E2" s="70"/>
      <c r="F2" s="171" t="s">
        <v>1</v>
      </c>
      <c r="G2" s="135"/>
      <c r="H2" s="135"/>
      <c r="I2" s="135"/>
      <c r="J2" s="135"/>
      <c r="K2" s="136"/>
      <c r="L2" s="134" t="e">
        <f>#REF!</f>
        <v>#REF!</v>
      </c>
      <c r="M2" s="135"/>
      <c r="N2" s="135"/>
      <c r="O2" s="135"/>
      <c r="P2" s="135"/>
      <c r="Q2" s="135"/>
      <c r="R2" s="135"/>
      <c r="S2" s="135"/>
      <c r="T2" s="141"/>
      <c r="U2" s="3"/>
      <c r="V2" s="3"/>
      <c r="W2" s="3"/>
      <c r="X2" s="3"/>
      <c r="Y2" s="3"/>
      <c r="Z2" s="3"/>
    </row>
    <row r="3" spans="1:26" ht="13.5" customHeight="1" x14ac:dyDescent="0.15">
      <c r="A3" s="173" t="s">
        <v>9</v>
      </c>
      <c r="B3" s="144"/>
      <c r="C3" s="142" t="s">
        <v>10</v>
      </c>
      <c r="D3" s="143"/>
      <c r="E3" s="144"/>
      <c r="F3" s="172" t="s">
        <v>11</v>
      </c>
      <c r="G3" s="143"/>
      <c r="H3" s="143"/>
      <c r="I3" s="143"/>
      <c r="J3" s="143"/>
      <c r="K3" s="144"/>
      <c r="L3" s="146"/>
      <c r="M3" s="143"/>
      <c r="N3" s="147"/>
      <c r="O3" s="6"/>
      <c r="P3" s="6"/>
      <c r="Q3" s="6"/>
      <c r="R3" s="6"/>
      <c r="S3" s="6"/>
      <c r="T3" s="7"/>
      <c r="U3" s="3"/>
      <c r="V3" s="3"/>
      <c r="W3" s="3"/>
      <c r="X3" s="3"/>
      <c r="Y3" s="3"/>
      <c r="Z3" s="3"/>
    </row>
    <row r="4" spans="1:26" ht="13.5" customHeight="1" x14ac:dyDescent="0.15">
      <c r="A4" s="148" t="s">
        <v>12</v>
      </c>
      <c r="B4" s="130"/>
      <c r="C4" s="149">
        <v>300</v>
      </c>
      <c r="D4" s="131"/>
      <c r="E4" s="8"/>
      <c r="F4" s="145" t="s">
        <v>13</v>
      </c>
      <c r="G4" s="129"/>
      <c r="H4" s="129"/>
      <c r="I4" s="129"/>
      <c r="J4" s="129"/>
      <c r="K4" s="130"/>
      <c r="L4" s="150" t="e">
        <f>IF(#REF!&lt;&gt;"N/A",SUM(C4*#REF!/1000,-O7),"N/A")</f>
        <v>#REF!</v>
      </c>
      <c r="M4" s="129"/>
      <c r="N4" s="129"/>
      <c r="O4" s="129"/>
      <c r="P4" s="129"/>
      <c r="Q4" s="129"/>
      <c r="R4" s="129"/>
      <c r="S4" s="129"/>
      <c r="T4" s="151"/>
      <c r="U4" s="3"/>
      <c r="V4" s="5"/>
      <c r="W4" s="3"/>
      <c r="X4" s="3"/>
      <c r="Y4" s="3"/>
      <c r="Z4" s="3"/>
    </row>
    <row r="5" spans="1:26" ht="13.5" customHeight="1" x14ac:dyDescent="0.15">
      <c r="A5" s="148" t="s">
        <v>14</v>
      </c>
      <c r="B5" s="130"/>
      <c r="C5" s="152" t="s">
        <v>15</v>
      </c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51"/>
      <c r="U5" s="3"/>
      <c r="V5" s="3"/>
      <c r="W5" s="3"/>
      <c r="X5" s="3"/>
      <c r="Y5" s="3"/>
      <c r="Z5" s="3"/>
    </row>
    <row r="6" spans="1:26" ht="13.5" customHeight="1" x14ac:dyDescent="0.15">
      <c r="A6" s="167" t="s">
        <v>2</v>
      </c>
      <c r="B6" s="130"/>
      <c r="C6" s="153" t="s">
        <v>3</v>
      </c>
      <c r="D6" s="129"/>
      <c r="E6" s="130"/>
      <c r="F6" s="153" t="s">
        <v>4</v>
      </c>
      <c r="G6" s="129"/>
      <c r="H6" s="129"/>
      <c r="I6" s="129"/>
      <c r="J6" s="129"/>
      <c r="K6" s="130"/>
      <c r="L6" s="168" t="s">
        <v>16</v>
      </c>
      <c r="M6" s="129"/>
      <c r="N6" s="131"/>
      <c r="O6" s="153" t="s">
        <v>7</v>
      </c>
      <c r="P6" s="129"/>
      <c r="Q6" s="129"/>
      <c r="R6" s="129"/>
      <c r="S6" s="129"/>
      <c r="T6" s="151"/>
      <c r="U6" s="3"/>
      <c r="V6" s="5"/>
      <c r="W6" s="3"/>
      <c r="X6" s="3"/>
      <c r="Y6" s="3"/>
      <c r="Z6" s="3"/>
    </row>
    <row r="7" spans="1:26" ht="13.5" customHeight="1" x14ac:dyDescent="0.15">
      <c r="A7" s="169">
        <f>COUNTIF(F53:HQ53,"P")</f>
        <v>12</v>
      </c>
      <c r="B7" s="170"/>
      <c r="C7" s="154">
        <f>COUNTIF(F53:HQ53,"F")</f>
        <v>3</v>
      </c>
      <c r="D7" s="155"/>
      <c r="E7" s="170"/>
      <c r="F7" s="154">
        <f>SUM(O7,-A7,-C7)</f>
        <v>0</v>
      </c>
      <c r="G7" s="155"/>
      <c r="H7" s="155"/>
      <c r="I7" s="155"/>
      <c r="J7" s="155"/>
      <c r="K7" s="170"/>
      <c r="L7" s="9">
        <f>COUNTIF(E52:HQ52,"N")</f>
        <v>12</v>
      </c>
      <c r="M7" s="9">
        <f>COUNTIF(E52:HQ52,"A")</f>
        <v>2</v>
      </c>
      <c r="N7" s="9">
        <f>COUNTIF(E52:HQ52,"B")</f>
        <v>1</v>
      </c>
      <c r="O7" s="154">
        <f>COUNTA(E9:HT9)</f>
        <v>15</v>
      </c>
      <c r="P7" s="155"/>
      <c r="Q7" s="155"/>
      <c r="R7" s="155"/>
      <c r="S7" s="155"/>
      <c r="T7" s="156"/>
      <c r="U7" s="10"/>
      <c r="V7" s="3"/>
      <c r="W7" s="3"/>
      <c r="X7" s="3"/>
      <c r="Y7" s="3"/>
      <c r="Z7" s="3"/>
    </row>
    <row r="8" spans="1:26" ht="12" customHeight="1" x14ac:dyDescent="0.15">
      <c r="A8" s="3"/>
      <c r="B8" s="11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5" customHeight="1" x14ac:dyDescent="0.15">
      <c r="A9" s="71"/>
      <c r="B9" s="72"/>
      <c r="C9" s="73"/>
      <c r="D9" s="74"/>
      <c r="E9" s="73"/>
      <c r="F9" s="75" t="s">
        <v>17</v>
      </c>
      <c r="G9" s="75" t="s">
        <v>18</v>
      </c>
      <c r="H9" s="75" t="s">
        <v>19</v>
      </c>
      <c r="I9" s="75" t="s">
        <v>20</v>
      </c>
      <c r="J9" s="75" t="s">
        <v>21</v>
      </c>
      <c r="K9" s="75" t="s">
        <v>22</v>
      </c>
      <c r="L9" s="75" t="s">
        <v>23</v>
      </c>
      <c r="M9" s="75" t="s">
        <v>24</v>
      </c>
      <c r="N9" s="75" t="s">
        <v>25</v>
      </c>
      <c r="O9" s="75" t="s">
        <v>26</v>
      </c>
      <c r="P9" s="75" t="s">
        <v>27</v>
      </c>
      <c r="Q9" s="75" t="s">
        <v>28</v>
      </c>
      <c r="R9" s="75" t="s">
        <v>29</v>
      </c>
      <c r="S9" s="75" t="s">
        <v>30</v>
      </c>
      <c r="T9" s="76" t="s">
        <v>31</v>
      </c>
      <c r="U9" s="77"/>
      <c r="V9" s="5"/>
      <c r="W9" s="3"/>
      <c r="X9" s="3"/>
      <c r="Y9" s="3"/>
      <c r="Z9" s="3"/>
    </row>
    <row r="10" spans="1:26" ht="13.5" customHeight="1" x14ac:dyDescent="0.3">
      <c r="A10" s="17" t="s">
        <v>32</v>
      </c>
      <c r="B10" s="78" t="s">
        <v>64</v>
      </c>
      <c r="C10" s="79"/>
      <c r="D10" s="27"/>
      <c r="E10" s="80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2"/>
      <c r="U10" s="3"/>
      <c r="V10" s="3"/>
      <c r="W10" s="3"/>
      <c r="X10" s="3"/>
      <c r="Y10" s="3"/>
      <c r="Z10" s="3"/>
    </row>
    <row r="11" spans="1:26" ht="13.5" customHeight="1" x14ac:dyDescent="0.3">
      <c r="A11" s="83"/>
      <c r="B11" s="78"/>
      <c r="C11" s="79"/>
      <c r="D11" s="27" t="s">
        <v>65</v>
      </c>
      <c r="E11" s="84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2"/>
      <c r="U11" s="3"/>
      <c r="V11" s="5"/>
      <c r="W11" s="3"/>
      <c r="X11" s="3"/>
      <c r="Y11" s="3"/>
      <c r="Z11" s="3"/>
    </row>
    <row r="12" spans="1:26" ht="13.5" customHeight="1" x14ac:dyDescent="0.3">
      <c r="A12" s="83"/>
      <c r="B12" s="78"/>
      <c r="C12" s="79"/>
      <c r="D12" s="27"/>
      <c r="E12" s="84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2"/>
      <c r="U12" s="3"/>
      <c r="V12" s="3"/>
      <c r="W12" s="3"/>
      <c r="X12" s="3"/>
      <c r="Y12" s="3"/>
      <c r="Z12" s="3"/>
    </row>
    <row r="13" spans="1:26" ht="13.5" customHeight="1" x14ac:dyDescent="0.3">
      <c r="A13" s="83"/>
      <c r="B13" s="78"/>
      <c r="C13" s="79"/>
      <c r="D13" s="27"/>
      <c r="E13" s="85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2"/>
      <c r="U13" s="3"/>
      <c r="V13" s="5"/>
      <c r="W13" s="3"/>
      <c r="X13" s="3"/>
      <c r="Y13" s="3"/>
      <c r="Z13" s="3"/>
    </row>
    <row r="14" spans="1:26" ht="13.5" customHeight="1" x14ac:dyDescent="0.3">
      <c r="A14" s="83"/>
      <c r="B14" s="78" t="s">
        <v>66</v>
      </c>
      <c r="C14" s="79"/>
      <c r="D14" s="27"/>
      <c r="E14" s="86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2"/>
      <c r="U14" s="3"/>
      <c r="V14" s="3"/>
      <c r="W14" s="3"/>
      <c r="X14" s="3"/>
      <c r="Y14" s="3"/>
      <c r="Z14" s="3"/>
    </row>
    <row r="15" spans="1:26" ht="13.5" customHeight="1" x14ac:dyDescent="0.3">
      <c r="A15" s="83"/>
      <c r="B15" s="78"/>
      <c r="C15" s="79"/>
      <c r="D15" s="27" t="s">
        <v>67</v>
      </c>
      <c r="E15" s="86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2"/>
      <c r="U15" s="3"/>
      <c r="V15" s="3"/>
      <c r="W15" s="3"/>
      <c r="X15" s="3"/>
      <c r="Y15" s="3"/>
      <c r="Z15" s="3"/>
    </row>
    <row r="16" spans="1:26" ht="13.5" customHeight="1" x14ac:dyDescent="0.3">
      <c r="A16" s="83"/>
      <c r="B16" s="78"/>
      <c r="C16" s="79"/>
      <c r="D16" s="27" t="s">
        <v>68</v>
      </c>
      <c r="E16" s="86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2"/>
      <c r="U16" s="3"/>
      <c r="V16" s="3"/>
      <c r="W16" s="3"/>
      <c r="X16" s="3"/>
      <c r="Y16" s="3"/>
      <c r="Z16" s="3"/>
    </row>
    <row r="17" spans="1:26" ht="13.5" customHeight="1" x14ac:dyDescent="0.3">
      <c r="A17" s="83"/>
      <c r="B17" s="78"/>
      <c r="C17" s="79"/>
      <c r="D17" s="27" t="s">
        <v>69</v>
      </c>
      <c r="E17" s="86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2"/>
      <c r="U17" s="87"/>
      <c r="V17" s="3"/>
      <c r="W17" s="3"/>
      <c r="X17" s="3"/>
      <c r="Y17" s="3"/>
      <c r="Z17" s="3"/>
    </row>
    <row r="18" spans="1:26" ht="13.5" customHeight="1" x14ac:dyDescent="0.3">
      <c r="A18" s="83"/>
      <c r="B18" s="78" t="s">
        <v>70</v>
      </c>
      <c r="C18" s="79"/>
      <c r="D18" s="27"/>
      <c r="E18" s="86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2"/>
      <c r="U18" s="87"/>
      <c r="V18" s="3"/>
      <c r="W18" s="3"/>
      <c r="X18" s="3"/>
      <c r="Y18" s="3"/>
      <c r="Z18" s="3"/>
    </row>
    <row r="19" spans="1:26" ht="13.5" customHeight="1" x14ac:dyDescent="0.3">
      <c r="A19" s="83"/>
      <c r="B19" s="78"/>
      <c r="C19" s="79"/>
      <c r="D19" s="174" t="s">
        <v>71</v>
      </c>
      <c r="E19" s="158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2"/>
      <c r="U19" s="3"/>
      <c r="V19" s="3"/>
      <c r="W19" s="3"/>
      <c r="X19" s="3"/>
      <c r="Y19" s="3"/>
      <c r="Z19" s="3"/>
    </row>
    <row r="20" spans="1:26" ht="13.5" customHeight="1" x14ac:dyDescent="0.3">
      <c r="A20" s="83"/>
      <c r="B20" s="78"/>
      <c r="C20" s="79"/>
      <c r="D20" s="27">
        <v>5</v>
      </c>
      <c r="E20" s="86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2"/>
      <c r="U20" s="3"/>
      <c r="V20" s="3"/>
      <c r="W20" s="3"/>
      <c r="X20" s="3"/>
      <c r="Y20" s="3"/>
      <c r="Z20" s="3"/>
    </row>
    <row r="21" spans="1:26" ht="13.5" customHeight="1" x14ac:dyDescent="0.3">
      <c r="A21" s="83"/>
      <c r="B21" s="78"/>
      <c r="C21" s="79"/>
      <c r="D21" s="27">
        <v>10</v>
      </c>
      <c r="E21" s="86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2"/>
      <c r="U21" s="3"/>
      <c r="V21" s="3"/>
      <c r="W21" s="3"/>
      <c r="X21" s="3"/>
      <c r="Y21" s="3"/>
      <c r="Z21" s="3"/>
    </row>
    <row r="22" spans="1:26" ht="13.5" customHeight="1" x14ac:dyDescent="0.3">
      <c r="A22" s="83"/>
      <c r="B22" s="78" t="s">
        <v>72</v>
      </c>
      <c r="C22" s="79"/>
      <c r="D22" s="27"/>
      <c r="E22" s="86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2"/>
      <c r="U22" s="3"/>
      <c r="V22" s="3"/>
      <c r="W22" s="3"/>
      <c r="X22" s="3"/>
      <c r="Y22" s="3"/>
      <c r="Z22" s="3"/>
    </row>
    <row r="23" spans="1:26" ht="13.5" customHeight="1" x14ac:dyDescent="0.3">
      <c r="A23" s="83"/>
      <c r="B23" s="78"/>
      <c r="C23" s="79"/>
      <c r="D23" s="27"/>
      <c r="E23" s="86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2"/>
      <c r="U23" s="3"/>
      <c r="V23" s="3"/>
      <c r="W23" s="3"/>
      <c r="X23" s="3"/>
      <c r="Y23" s="3"/>
      <c r="Z23" s="3"/>
    </row>
    <row r="24" spans="1:26" ht="13.5" customHeight="1" x14ac:dyDescent="0.3">
      <c r="A24" s="83"/>
      <c r="B24" s="78"/>
      <c r="C24" s="79"/>
      <c r="D24" s="27"/>
      <c r="E24" s="86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2"/>
      <c r="U24" s="3"/>
      <c r="V24" s="3"/>
      <c r="W24" s="3"/>
      <c r="X24" s="3"/>
      <c r="Y24" s="3"/>
      <c r="Z24" s="3"/>
    </row>
    <row r="25" spans="1:26" ht="13.5" customHeight="1" x14ac:dyDescent="0.3">
      <c r="A25" s="83"/>
      <c r="B25" s="78"/>
      <c r="C25" s="79"/>
      <c r="D25" s="27"/>
      <c r="E25" s="86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2"/>
      <c r="U25" s="3"/>
      <c r="V25" s="3"/>
      <c r="W25" s="3"/>
      <c r="X25" s="3"/>
      <c r="Y25" s="3"/>
      <c r="Z25" s="3"/>
    </row>
    <row r="26" spans="1:26" ht="13.5" customHeight="1" x14ac:dyDescent="0.3">
      <c r="A26" s="83"/>
      <c r="B26" s="78" t="s">
        <v>73</v>
      </c>
      <c r="C26" s="79"/>
      <c r="D26" s="27"/>
      <c r="E26" s="86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2"/>
      <c r="U26" s="3"/>
      <c r="V26" s="3"/>
      <c r="W26" s="3"/>
      <c r="X26" s="3"/>
      <c r="Y26" s="3"/>
      <c r="Z26" s="3"/>
    </row>
    <row r="27" spans="1:26" ht="13.5" customHeight="1" x14ac:dyDescent="0.3">
      <c r="A27" s="83"/>
      <c r="B27" s="78"/>
      <c r="C27" s="79"/>
      <c r="D27" s="27"/>
      <c r="E27" s="86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2"/>
      <c r="U27" s="3"/>
      <c r="V27" s="3"/>
      <c r="W27" s="3"/>
      <c r="X27" s="3"/>
      <c r="Y27" s="3"/>
      <c r="Z27" s="3"/>
    </row>
    <row r="28" spans="1:26" ht="13.5" customHeight="1" x14ac:dyDescent="0.3">
      <c r="A28" s="83"/>
      <c r="B28" s="78"/>
      <c r="C28" s="79"/>
      <c r="D28" s="27"/>
      <c r="E28" s="86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2"/>
      <c r="U28" s="3"/>
      <c r="V28" s="3"/>
      <c r="W28" s="3"/>
      <c r="X28" s="3"/>
      <c r="Y28" s="3"/>
      <c r="Z28" s="3"/>
    </row>
    <row r="29" spans="1:26" ht="13.5" customHeight="1" x14ac:dyDescent="0.3">
      <c r="A29" s="83"/>
      <c r="B29" s="78"/>
      <c r="C29" s="79"/>
      <c r="D29" s="27"/>
      <c r="E29" s="86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2"/>
      <c r="U29" s="3"/>
      <c r="V29" s="3"/>
      <c r="W29" s="3"/>
      <c r="X29" s="3"/>
      <c r="Y29" s="3"/>
      <c r="Z29" s="3"/>
    </row>
    <row r="30" spans="1:26" ht="13.5" customHeight="1" x14ac:dyDescent="0.3">
      <c r="A30" s="83"/>
      <c r="B30" s="78" t="s">
        <v>74</v>
      </c>
      <c r="C30" s="79"/>
      <c r="D30" s="27"/>
      <c r="E30" s="86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2"/>
      <c r="U30" s="3"/>
      <c r="V30" s="3"/>
      <c r="W30" s="3"/>
      <c r="X30" s="3"/>
      <c r="Y30" s="3"/>
      <c r="Z30" s="3"/>
    </row>
    <row r="31" spans="1:26" ht="13.5" customHeight="1" x14ac:dyDescent="0.3">
      <c r="A31" s="83"/>
      <c r="B31" s="78"/>
      <c r="C31" s="79"/>
      <c r="D31" s="27"/>
      <c r="E31" s="86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2"/>
      <c r="U31" s="3"/>
      <c r="V31" s="3"/>
      <c r="W31" s="3"/>
      <c r="X31" s="3"/>
      <c r="Y31" s="3"/>
      <c r="Z31" s="3"/>
    </row>
    <row r="32" spans="1:26" ht="13.5" customHeight="1" x14ac:dyDescent="0.3">
      <c r="A32" s="83"/>
      <c r="B32" s="78"/>
      <c r="C32" s="79"/>
      <c r="D32" s="27"/>
      <c r="E32" s="86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2"/>
      <c r="U32" s="3"/>
      <c r="V32" s="3"/>
      <c r="W32" s="3"/>
      <c r="X32" s="3"/>
      <c r="Y32" s="3"/>
      <c r="Z32" s="3"/>
    </row>
    <row r="33" spans="1:26" ht="13.5" customHeight="1" x14ac:dyDescent="0.3">
      <c r="A33" s="83"/>
      <c r="B33" s="78"/>
      <c r="C33" s="79"/>
      <c r="D33" s="27"/>
      <c r="E33" s="86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2"/>
      <c r="U33" s="3"/>
      <c r="V33" s="3"/>
      <c r="W33" s="3"/>
      <c r="X33" s="3"/>
      <c r="Y33" s="3"/>
      <c r="Z33" s="3"/>
    </row>
    <row r="34" spans="1:26" ht="13.5" customHeight="1" x14ac:dyDescent="0.3">
      <c r="A34" s="83"/>
      <c r="B34" s="78" t="s">
        <v>75</v>
      </c>
      <c r="C34" s="79"/>
      <c r="D34" s="27"/>
      <c r="E34" s="86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2"/>
      <c r="U34" s="3"/>
      <c r="V34" s="3"/>
      <c r="W34" s="3"/>
      <c r="X34" s="3"/>
      <c r="Y34" s="3"/>
      <c r="Z34" s="3"/>
    </row>
    <row r="35" spans="1:26" ht="13.5" customHeight="1" x14ac:dyDescent="0.3">
      <c r="A35" s="83"/>
      <c r="B35" s="78"/>
      <c r="C35" s="79"/>
      <c r="D35" s="27"/>
      <c r="E35" s="86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2"/>
      <c r="U35" s="3"/>
      <c r="V35" s="3"/>
      <c r="W35" s="3"/>
      <c r="X35" s="3"/>
      <c r="Y35" s="3"/>
      <c r="Z35" s="3"/>
    </row>
    <row r="36" spans="1:26" ht="13.5" customHeight="1" x14ac:dyDescent="0.3">
      <c r="A36" s="83"/>
      <c r="B36" s="78"/>
      <c r="C36" s="79"/>
      <c r="D36" s="27"/>
      <c r="E36" s="86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2"/>
      <c r="U36" s="3"/>
      <c r="V36" s="3"/>
      <c r="W36" s="3"/>
      <c r="X36" s="3"/>
      <c r="Y36" s="3"/>
      <c r="Z36" s="3"/>
    </row>
    <row r="37" spans="1:26" ht="13.5" customHeight="1" x14ac:dyDescent="0.3">
      <c r="A37" s="83"/>
      <c r="B37" s="78"/>
      <c r="C37" s="79"/>
      <c r="D37" s="27"/>
      <c r="E37" s="86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2"/>
      <c r="U37" s="3"/>
      <c r="V37" s="3"/>
      <c r="W37" s="3"/>
      <c r="X37" s="3"/>
      <c r="Y37" s="3"/>
      <c r="Z37" s="3"/>
    </row>
    <row r="38" spans="1:26" ht="13.5" customHeight="1" x14ac:dyDescent="0.3">
      <c r="A38" s="83"/>
      <c r="B38" s="78" t="s">
        <v>76</v>
      </c>
      <c r="C38" s="79"/>
      <c r="D38" s="27"/>
      <c r="E38" s="86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2"/>
      <c r="U38" s="3"/>
      <c r="V38" s="3"/>
      <c r="W38" s="3"/>
      <c r="X38" s="3"/>
      <c r="Y38" s="3"/>
      <c r="Z38" s="3"/>
    </row>
    <row r="39" spans="1:26" ht="13.5" customHeight="1" x14ac:dyDescent="0.3">
      <c r="A39" s="83"/>
      <c r="B39" s="78"/>
      <c r="C39" s="79"/>
      <c r="D39" s="27"/>
      <c r="E39" s="86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2"/>
      <c r="U39" s="3"/>
      <c r="V39" s="3"/>
      <c r="W39" s="3"/>
      <c r="X39" s="3"/>
      <c r="Y39" s="3"/>
      <c r="Z39" s="3"/>
    </row>
    <row r="40" spans="1:26" ht="13.5" customHeight="1" x14ac:dyDescent="0.3">
      <c r="A40" s="83"/>
      <c r="B40" s="78"/>
      <c r="C40" s="79"/>
      <c r="D40" s="27"/>
      <c r="E40" s="86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2"/>
      <c r="U40" s="3"/>
      <c r="V40" s="3"/>
      <c r="W40" s="3"/>
      <c r="X40" s="3"/>
      <c r="Y40" s="3"/>
      <c r="Z40" s="3"/>
    </row>
    <row r="41" spans="1:26" ht="13.5" customHeight="1" x14ac:dyDescent="0.3">
      <c r="A41" s="83"/>
      <c r="B41" s="78"/>
      <c r="C41" s="79"/>
      <c r="D41" s="27"/>
      <c r="E41" s="86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2"/>
      <c r="U41" s="3"/>
      <c r="V41" s="3"/>
      <c r="W41" s="3"/>
      <c r="X41" s="3"/>
      <c r="Y41" s="3"/>
      <c r="Z41" s="3"/>
    </row>
    <row r="42" spans="1:26" ht="13.5" customHeight="1" x14ac:dyDescent="0.3">
      <c r="A42" s="83"/>
      <c r="B42" s="78" t="s">
        <v>77</v>
      </c>
      <c r="C42" s="79"/>
      <c r="D42" s="27"/>
      <c r="E42" s="86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2"/>
      <c r="U42" s="3"/>
      <c r="V42" s="3"/>
      <c r="W42" s="3"/>
      <c r="X42" s="3"/>
      <c r="Y42" s="3"/>
      <c r="Z42" s="3"/>
    </row>
    <row r="43" spans="1:26" ht="13.5" customHeight="1" x14ac:dyDescent="0.3">
      <c r="A43" s="83"/>
      <c r="B43" s="88"/>
      <c r="C43" s="89"/>
      <c r="D43" s="90"/>
      <c r="E43" s="91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3"/>
      <c r="U43" s="3"/>
      <c r="V43" s="3"/>
      <c r="W43" s="3"/>
      <c r="X43" s="3"/>
      <c r="Y43" s="3"/>
      <c r="Z43" s="3"/>
    </row>
    <row r="44" spans="1:26" ht="13.5" customHeight="1" x14ac:dyDescent="0.3">
      <c r="A44" s="40" t="s">
        <v>43</v>
      </c>
      <c r="B44" s="41" t="s">
        <v>44</v>
      </c>
      <c r="C44" s="94"/>
      <c r="D44" s="95"/>
      <c r="E44" s="96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8"/>
      <c r="U44" s="3"/>
      <c r="V44" s="3"/>
      <c r="W44" s="3"/>
      <c r="X44" s="3"/>
      <c r="Y44" s="3"/>
      <c r="Z44" s="3"/>
    </row>
    <row r="45" spans="1:26" ht="13.5" customHeight="1" x14ac:dyDescent="0.3">
      <c r="A45" s="99"/>
      <c r="B45" s="50"/>
      <c r="C45" s="100"/>
      <c r="D45" s="48">
        <v>1</v>
      </c>
      <c r="E45" s="10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2"/>
      <c r="U45" s="3"/>
      <c r="V45" s="3"/>
      <c r="W45" s="3"/>
      <c r="X45" s="3"/>
      <c r="Y45" s="3"/>
      <c r="Z45" s="3"/>
    </row>
    <row r="46" spans="1:26" ht="13.5" customHeight="1" x14ac:dyDescent="0.3">
      <c r="A46" s="99"/>
      <c r="B46" s="50"/>
      <c r="C46" s="47"/>
      <c r="D46" s="48">
        <v>2</v>
      </c>
      <c r="E46" s="102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2"/>
      <c r="U46" s="3"/>
      <c r="V46" s="3"/>
      <c r="W46" s="3"/>
      <c r="X46" s="3"/>
      <c r="Y46" s="3"/>
      <c r="Z46" s="3"/>
    </row>
    <row r="47" spans="1:26" ht="13.5" customHeight="1" x14ac:dyDescent="0.3">
      <c r="A47" s="99"/>
      <c r="B47" s="50" t="s">
        <v>47</v>
      </c>
      <c r="C47" s="47"/>
      <c r="D47" s="48"/>
      <c r="E47" s="102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2"/>
      <c r="U47" s="3"/>
      <c r="V47" s="3"/>
      <c r="W47" s="3"/>
      <c r="X47" s="3"/>
      <c r="Y47" s="3"/>
      <c r="Z47" s="3"/>
    </row>
    <row r="48" spans="1:26" ht="13.5" customHeight="1" x14ac:dyDescent="0.3">
      <c r="A48" s="99"/>
      <c r="B48" s="50"/>
      <c r="C48" s="47"/>
      <c r="D48" s="48"/>
      <c r="E48" s="102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2"/>
      <c r="U48" s="3"/>
      <c r="V48" s="3"/>
      <c r="W48" s="3"/>
      <c r="X48" s="3"/>
      <c r="Y48" s="3"/>
      <c r="Z48" s="3"/>
    </row>
    <row r="49" spans="1:26" ht="13.5" customHeight="1" x14ac:dyDescent="0.3">
      <c r="A49" s="99"/>
      <c r="B49" s="50" t="s">
        <v>48</v>
      </c>
      <c r="C49" s="47"/>
      <c r="D49" s="48"/>
      <c r="E49" s="102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2"/>
      <c r="U49" s="3"/>
      <c r="V49" s="3"/>
      <c r="W49" s="3"/>
      <c r="X49" s="3"/>
      <c r="Y49" s="3"/>
      <c r="Z49" s="3"/>
    </row>
    <row r="50" spans="1:26" ht="13.5" customHeight="1" x14ac:dyDescent="0.3">
      <c r="A50" s="99"/>
      <c r="B50" s="50"/>
      <c r="C50" s="47"/>
      <c r="D50" s="48" t="s">
        <v>49</v>
      </c>
      <c r="E50" s="102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2"/>
      <c r="U50" s="3"/>
      <c r="V50" s="3"/>
      <c r="W50" s="3"/>
      <c r="X50" s="3"/>
      <c r="Y50" s="3"/>
      <c r="Z50" s="3"/>
    </row>
    <row r="51" spans="1:26" ht="13.5" customHeight="1" x14ac:dyDescent="0.3">
      <c r="A51" s="99"/>
      <c r="B51" s="103"/>
      <c r="C51" s="104"/>
      <c r="D51" s="54" t="s">
        <v>78</v>
      </c>
      <c r="E51" s="105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7"/>
      <c r="U51" s="3"/>
      <c r="V51" s="3"/>
      <c r="W51" s="3"/>
      <c r="X51" s="3"/>
      <c r="Y51" s="3"/>
      <c r="Z51" s="3"/>
    </row>
    <row r="52" spans="1:26" ht="13.5" customHeight="1" x14ac:dyDescent="0.2">
      <c r="A52" s="40" t="s">
        <v>51</v>
      </c>
      <c r="B52" s="175" t="s">
        <v>52</v>
      </c>
      <c r="C52" s="160"/>
      <c r="D52" s="161"/>
      <c r="E52" s="108"/>
      <c r="F52" s="109" t="s">
        <v>5</v>
      </c>
      <c r="G52" s="109" t="s">
        <v>5</v>
      </c>
      <c r="H52" s="109" t="s">
        <v>5</v>
      </c>
      <c r="I52" s="109" t="s">
        <v>5</v>
      </c>
      <c r="J52" s="109" t="s">
        <v>5</v>
      </c>
      <c r="K52" s="109" t="s">
        <v>6</v>
      </c>
      <c r="L52" s="109" t="s">
        <v>0</v>
      </c>
      <c r="M52" s="109" t="s">
        <v>5</v>
      </c>
      <c r="N52" s="109" t="s">
        <v>5</v>
      </c>
      <c r="O52" s="109" t="s">
        <v>5</v>
      </c>
      <c r="P52" s="109" t="s">
        <v>5</v>
      </c>
      <c r="Q52" s="109" t="s">
        <v>5</v>
      </c>
      <c r="R52" s="109" t="s">
        <v>0</v>
      </c>
      <c r="S52" s="109" t="s">
        <v>5</v>
      </c>
      <c r="T52" s="110" t="s">
        <v>5</v>
      </c>
      <c r="U52" s="3"/>
      <c r="V52" s="3"/>
      <c r="W52" s="3"/>
      <c r="X52" s="3"/>
      <c r="Y52" s="3"/>
      <c r="Z52" s="3"/>
    </row>
    <row r="53" spans="1:26" ht="13.5" customHeight="1" x14ac:dyDescent="0.2">
      <c r="A53" s="99"/>
      <c r="B53" s="176" t="s">
        <v>53</v>
      </c>
      <c r="C53" s="129"/>
      <c r="D53" s="130"/>
      <c r="E53" s="111"/>
      <c r="F53" s="112" t="s">
        <v>54</v>
      </c>
      <c r="G53" s="112" t="s">
        <v>54</v>
      </c>
      <c r="H53" s="112" t="s">
        <v>54</v>
      </c>
      <c r="I53" s="112" t="s">
        <v>54</v>
      </c>
      <c r="J53" s="112" t="s">
        <v>54</v>
      </c>
      <c r="K53" s="112" t="s">
        <v>46</v>
      </c>
      <c r="L53" s="112" t="s">
        <v>46</v>
      </c>
      <c r="M53" s="112" t="s">
        <v>54</v>
      </c>
      <c r="N53" s="112" t="s">
        <v>54</v>
      </c>
      <c r="O53" s="112" t="s">
        <v>54</v>
      </c>
      <c r="P53" s="112" t="s">
        <v>54</v>
      </c>
      <c r="Q53" s="112" t="s">
        <v>54</v>
      </c>
      <c r="R53" s="112" t="s">
        <v>46</v>
      </c>
      <c r="S53" s="112" t="s">
        <v>54</v>
      </c>
      <c r="T53" s="113" t="s">
        <v>54</v>
      </c>
      <c r="U53" s="3"/>
      <c r="V53" s="3"/>
      <c r="W53" s="3"/>
      <c r="X53" s="3"/>
      <c r="Y53" s="3"/>
      <c r="Z53" s="3"/>
    </row>
    <row r="54" spans="1:26" ht="13.5" customHeight="1" x14ac:dyDescent="0.15">
      <c r="A54" s="99"/>
      <c r="B54" s="177" t="s">
        <v>55</v>
      </c>
      <c r="C54" s="129"/>
      <c r="D54" s="130"/>
      <c r="E54" s="114"/>
      <c r="F54" s="115">
        <v>39139</v>
      </c>
      <c r="G54" s="115">
        <v>39139</v>
      </c>
      <c r="H54" s="115">
        <v>39140</v>
      </c>
      <c r="I54" s="115">
        <v>39141</v>
      </c>
      <c r="J54" s="115">
        <v>39142</v>
      </c>
      <c r="K54" s="115">
        <v>39143</v>
      </c>
      <c r="L54" s="115">
        <v>39144</v>
      </c>
      <c r="M54" s="115">
        <v>39145</v>
      </c>
      <c r="N54" s="115">
        <v>39146</v>
      </c>
      <c r="O54" s="115">
        <v>39147</v>
      </c>
      <c r="P54" s="115">
        <v>39148</v>
      </c>
      <c r="Q54" s="115">
        <v>39149</v>
      </c>
      <c r="R54" s="115">
        <v>39150</v>
      </c>
      <c r="S54" s="115">
        <v>39151</v>
      </c>
      <c r="T54" s="116">
        <v>39152</v>
      </c>
      <c r="U54" s="3"/>
      <c r="V54" s="3"/>
      <c r="W54" s="3"/>
      <c r="X54" s="3"/>
      <c r="Y54" s="3"/>
      <c r="Z54" s="3"/>
    </row>
    <row r="55" spans="1:26" ht="79.5" customHeight="1" x14ac:dyDescent="0.15">
      <c r="A55" s="117"/>
      <c r="B55" s="178" t="s">
        <v>56</v>
      </c>
      <c r="C55" s="165"/>
      <c r="D55" s="166"/>
      <c r="E55" s="118"/>
      <c r="F55" s="119"/>
      <c r="G55" s="119"/>
      <c r="H55" s="119"/>
      <c r="I55" s="119"/>
      <c r="J55" s="119"/>
      <c r="K55" s="119" t="s">
        <v>58</v>
      </c>
      <c r="L55" s="119" t="s">
        <v>60</v>
      </c>
      <c r="M55" s="119" t="s">
        <v>61</v>
      </c>
      <c r="N55" s="119" t="s">
        <v>62</v>
      </c>
      <c r="O55" s="119" t="s">
        <v>63</v>
      </c>
      <c r="P55" s="119" t="s">
        <v>79</v>
      </c>
      <c r="Q55" s="119" t="s">
        <v>80</v>
      </c>
      <c r="R55" s="119" t="s">
        <v>81</v>
      </c>
      <c r="S55" s="119" t="s">
        <v>82</v>
      </c>
      <c r="T55" s="120" t="s">
        <v>83</v>
      </c>
      <c r="U55" s="3"/>
      <c r="V55" s="3"/>
      <c r="W55" s="3"/>
      <c r="X55" s="3"/>
      <c r="Y55" s="3"/>
      <c r="Z55" s="3"/>
    </row>
    <row r="56" spans="1:26" ht="12" customHeight="1" x14ac:dyDescent="0.15">
      <c r="A56" s="11"/>
      <c r="B56" s="3"/>
      <c r="C56" s="4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15">
      <c r="A57" s="3"/>
      <c r="B57" s="11"/>
      <c r="C57" s="3"/>
      <c r="D57" s="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15">
      <c r="A58" s="3"/>
      <c r="B58" s="11"/>
      <c r="C58" s="3"/>
      <c r="D58" s="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15">
      <c r="A59" s="3"/>
      <c r="B59" s="11"/>
      <c r="C59" s="3"/>
      <c r="D59" s="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15">
      <c r="A60" s="3"/>
      <c r="B60" s="11"/>
      <c r="C60" s="3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15">
      <c r="A61" s="3"/>
      <c r="B61" s="11"/>
      <c r="C61" s="3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15">
      <c r="A62" s="3"/>
      <c r="B62" s="11"/>
      <c r="C62" s="3"/>
      <c r="D62" s="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15">
      <c r="A63" s="3"/>
      <c r="B63" s="11"/>
      <c r="C63" s="3"/>
      <c r="D63" s="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15">
      <c r="A64" s="3"/>
      <c r="B64" s="11"/>
      <c r="C64" s="3"/>
      <c r="D64" s="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15">
      <c r="A65" s="3"/>
      <c r="B65" s="11"/>
      <c r="C65" s="3"/>
      <c r="D65" s="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15">
      <c r="A66" s="3"/>
      <c r="B66" s="11"/>
      <c r="C66" s="3"/>
      <c r="D66" s="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15">
      <c r="A67" s="3"/>
      <c r="B67" s="11"/>
      <c r="C67" s="3"/>
      <c r="D67" s="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15">
      <c r="A68" s="3"/>
      <c r="B68" s="11"/>
      <c r="C68" s="3"/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15">
      <c r="A69" s="3"/>
      <c r="B69" s="11"/>
      <c r="C69" s="3"/>
      <c r="D69" s="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15">
      <c r="A70" s="3"/>
      <c r="B70" s="11"/>
      <c r="C70" s="3"/>
      <c r="D70" s="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15">
      <c r="A71" s="3"/>
      <c r="B71" s="11"/>
      <c r="C71" s="3"/>
      <c r="D71" s="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15">
      <c r="A72" s="3"/>
      <c r="B72" s="11"/>
      <c r="C72" s="3"/>
      <c r="D72" s="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15">
      <c r="A73" s="3"/>
      <c r="B73" s="11"/>
      <c r="C73" s="3"/>
      <c r="D73" s="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15">
      <c r="A74" s="3"/>
      <c r="B74" s="11"/>
      <c r="C74" s="3"/>
      <c r="D74" s="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15">
      <c r="A75" s="3"/>
      <c r="B75" s="11"/>
      <c r="C75" s="3"/>
      <c r="D75" s="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15">
      <c r="A76" s="3"/>
      <c r="B76" s="11"/>
      <c r="C76" s="3"/>
      <c r="D76" s="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15">
      <c r="A77" s="3"/>
      <c r="B77" s="11"/>
      <c r="C77" s="3"/>
      <c r="D77" s="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15">
      <c r="A78" s="3"/>
      <c r="B78" s="11"/>
      <c r="C78" s="3"/>
      <c r="D78" s="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15">
      <c r="A79" s="3"/>
      <c r="B79" s="11"/>
      <c r="C79" s="3"/>
      <c r="D79" s="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15">
      <c r="A80" s="3"/>
      <c r="B80" s="11"/>
      <c r="C80" s="3"/>
      <c r="D80" s="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15">
      <c r="A81" s="3"/>
      <c r="B81" s="11"/>
      <c r="C81" s="3"/>
      <c r="D81" s="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15">
      <c r="A82" s="3"/>
      <c r="B82" s="11"/>
      <c r="C82" s="3"/>
      <c r="D82" s="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15">
      <c r="A83" s="3"/>
      <c r="B83" s="11"/>
      <c r="C83" s="3"/>
      <c r="D83" s="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15">
      <c r="A84" s="3"/>
      <c r="B84" s="11"/>
      <c r="C84" s="3"/>
      <c r="D84" s="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15">
      <c r="A85" s="3"/>
      <c r="B85" s="11"/>
      <c r="C85" s="3"/>
      <c r="D85" s="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15">
      <c r="A86" s="3"/>
      <c r="B86" s="11"/>
      <c r="C86" s="3"/>
      <c r="D86" s="4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15">
      <c r="A87" s="3"/>
      <c r="B87" s="11"/>
      <c r="C87" s="3"/>
      <c r="D87" s="4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15">
      <c r="A88" s="3"/>
      <c r="B88" s="11"/>
      <c r="C88" s="3"/>
      <c r="D88" s="4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15">
      <c r="A89" s="3"/>
      <c r="B89" s="11"/>
      <c r="C89" s="3"/>
      <c r="D89" s="4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15">
      <c r="A90" s="3"/>
      <c r="B90" s="11"/>
      <c r="C90" s="3"/>
      <c r="D90" s="4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15">
      <c r="A91" s="3"/>
      <c r="B91" s="11"/>
      <c r="C91" s="3"/>
      <c r="D91" s="4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15">
      <c r="A92" s="3"/>
      <c r="B92" s="11"/>
      <c r="C92" s="3"/>
      <c r="D92" s="4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15">
      <c r="A93" s="3"/>
      <c r="B93" s="11"/>
      <c r="C93" s="3"/>
      <c r="D93" s="4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15">
      <c r="A94" s="3"/>
      <c r="B94" s="11"/>
      <c r="C94" s="3"/>
      <c r="D94" s="4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15">
      <c r="A95" s="3"/>
      <c r="B95" s="11"/>
      <c r="C95" s="3"/>
      <c r="D95" s="4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15">
      <c r="A96" s="3"/>
      <c r="B96" s="11"/>
      <c r="C96" s="3"/>
      <c r="D96" s="4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15">
      <c r="A97" s="3"/>
      <c r="B97" s="11"/>
      <c r="C97" s="3"/>
      <c r="D97" s="4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15">
      <c r="A98" s="3"/>
      <c r="B98" s="11"/>
      <c r="C98" s="3"/>
      <c r="D98" s="4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15">
      <c r="A99" s="3"/>
      <c r="B99" s="11"/>
      <c r="C99" s="3"/>
      <c r="D99" s="4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15">
      <c r="A100" s="3"/>
      <c r="B100" s="11"/>
      <c r="C100" s="3"/>
      <c r="D100" s="4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15">
      <c r="A101" s="3"/>
      <c r="B101" s="11"/>
      <c r="C101" s="3"/>
      <c r="D101" s="4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15">
      <c r="A102" s="3"/>
      <c r="B102" s="11"/>
      <c r="C102" s="3"/>
      <c r="D102" s="4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15">
      <c r="A103" s="3"/>
      <c r="B103" s="11"/>
      <c r="C103" s="3"/>
      <c r="D103" s="4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15">
      <c r="A104" s="3"/>
      <c r="B104" s="11"/>
      <c r="C104" s="3"/>
      <c r="D104" s="4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15">
      <c r="A105" s="3"/>
      <c r="B105" s="11"/>
      <c r="C105" s="3"/>
      <c r="D105" s="4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15">
      <c r="A106" s="3"/>
      <c r="B106" s="11"/>
      <c r="C106" s="3"/>
      <c r="D106" s="4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15">
      <c r="A107" s="3"/>
      <c r="B107" s="11"/>
      <c r="C107" s="3"/>
      <c r="D107" s="4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15">
      <c r="A108" s="3"/>
      <c r="B108" s="11"/>
      <c r="C108" s="3"/>
      <c r="D108" s="4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15">
      <c r="A109" s="3"/>
      <c r="B109" s="11"/>
      <c r="C109" s="3"/>
      <c r="D109" s="4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15">
      <c r="A110" s="3"/>
      <c r="B110" s="11"/>
      <c r="C110" s="3"/>
      <c r="D110" s="4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15">
      <c r="A111" s="3"/>
      <c r="B111" s="11"/>
      <c r="C111" s="3"/>
      <c r="D111" s="4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15">
      <c r="A112" s="3"/>
      <c r="B112" s="11"/>
      <c r="C112" s="3"/>
      <c r="D112" s="4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15">
      <c r="A113" s="3"/>
      <c r="B113" s="11"/>
      <c r="C113" s="3"/>
      <c r="D113" s="4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15">
      <c r="A114" s="3"/>
      <c r="B114" s="11"/>
      <c r="C114" s="3"/>
      <c r="D114" s="4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15">
      <c r="A115" s="3"/>
      <c r="B115" s="11"/>
      <c r="C115" s="3"/>
      <c r="D115" s="4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15">
      <c r="A116" s="3"/>
      <c r="B116" s="11"/>
      <c r="C116" s="3"/>
      <c r="D116" s="4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15">
      <c r="A117" s="3"/>
      <c r="B117" s="11"/>
      <c r="C117" s="3"/>
      <c r="D117" s="4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15">
      <c r="A118" s="3"/>
      <c r="B118" s="11"/>
      <c r="C118" s="3"/>
      <c r="D118" s="4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15">
      <c r="A119" s="3"/>
      <c r="B119" s="11"/>
      <c r="C119" s="3"/>
      <c r="D119" s="4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15">
      <c r="A120" s="3"/>
      <c r="B120" s="11"/>
      <c r="C120" s="3"/>
      <c r="D120" s="4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15">
      <c r="A121" s="3"/>
      <c r="B121" s="11"/>
      <c r="C121" s="3"/>
      <c r="D121" s="4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15">
      <c r="A122" s="3"/>
      <c r="B122" s="11"/>
      <c r="C122" s="3"/>
      <c r="D122" s="4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15">
      <c r="A123" s="3"/>
      <c r="B123" s="11"/>
      <c r="C123" s="3"/>
      <c r="D123" s="4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15">
      <c r="A124" s="3"/>
      <c r="B124" s="11"/>
      <c r="C124" s="3"/>
      <c r="D124" s="4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15">
      <c r="A125" s="3"/>
      <c r="B125" s="11"/>
      <c r="C125" s="3"/>
      <c r="D125" s="4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15">
      <c r="A126" s="3"/>
      <c r="B126" s="11"/>
      <c r="C126" s="3"/>
      <c r="D126" s="4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15">
      <c r="A127" s="3"/>
      <c r="B127" s="11"/>
      <c r="C127" s="3"/>
      <c r="D127" s="4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15">
      <c r="A128" s="3"/>
      <c r="B128" s="11"/>
      <c r="C128" s="3"/>
      <c r="D128" s="4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15">
      <c r="A129" s="3"/>
      <c r="B129" s="11"/>
      <c r="C129" s="3"/>
      <c r="D129" s="4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15">
      <c r="A130" s="3"/>
      <c r="B130" s="11"/>
      <c r="C130" s="3"/>
      <c r="D130" s="4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15">
      <c r="A131" s="3"/>
      <c r="B131" s="11"/>
      <c r="C131" s="3"/>
      <c r="D131" s="4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15">
      <c r="A132" s="3"/>
      <c r="B132" s="11"/>
      <c r="C132" s="3"/>
      <c r="D132" s="4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15">
      <c r="A133" s="3"/>
      <c r="B133" s="11"/>
      <c r="C133" s="3"/>
      <c r="D133" s="4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15">
      <c r="A134" s="3"/>
      <c r="B134" s="11"/>
      <c r="C134" s="3"/>
      <c r="D134" s="4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15">
      <c r="A135" s="3"/>
      <c r="B135" s="11"/>
      <c r="C135" s="3"/>
      <c r="D135" s="4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15">
      <c r="A136" s="3"/>
      <c r="B136" s="11"/>
      <c r="C136" s="3"/>
      <c r="D136" s="4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 customHeight="1" x14ac:dyDescent="0.15">
      <c r="A137" s="3"/>
      <c r="B137" s="11"/>
      <c r="C137" s="3"/>
      <c r="D137" s="4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15">
      <c r="A138" s="3"/>
      <c r="B138" s="11"/>
      <c r="C138" s="3"/>
      <c r="D138" s="4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15">
      <c r="A139" s="3"/>
      <c r="B139" s="11"/>
      <c r="C139" s="3"/>
      <c r="D139" s="4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15">
      <c r="A140" s="3"/>
      <c r="B140" s="11"/>
      <c r="C140" s="3"/>
      <c r="D140" s="4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15">
      <c r="A141" s="3"/>
      <c r="B141" s="11"/>
      <c r="C141" s="3"/>
      <c r="D141" s="4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15">
      <c r="A142" s="3"/>
      <c r="B142" s="11"/>
      <c r="C142" s="3"/>
      <c r="D142" s="4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15">
      <c r="A143" s="3"/>
      <c r="B143" s="11"/>
      <c r="C143" s="3"/>
      <c r="D143" s="4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15">
      <c r="A144" s="3"/>
      <c r="B144" s="11"/>
      <c r="C144" s="3"/>
      <c r="D144" s="4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15">
      <c r="A145" s="3"/>
      <c r="B145" s="11"/>
      <c r="C145" s="3"/>
      <c r="D145" s="4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15">
      <c r="A146" s="3"/>
      <c r="B146" s="11"/>
      <c r="C146" s="3"/>
      <c r="D146" s="4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15">
      <c r="A147" s="3"/>
      <c r="B147" s="11"/>
      <c r="C147" s="3"/>
      <c r="D147" s="4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15">
      <c r="A148" s="3"/>
      <c r="B148" s="11"/>
      <c r="C148" s="3"/>
      <c r="D148" s="4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 customHeight="1" x14ac:dyDescent="0.15">
      <c r="A149" s="3"/>
      <c r="B149" s="11"/>
      <c r="C149" s="3"/>
      <c r="D149" s="4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 customHeight="1" x14ac:dyDescent="0.15">
      <c r="A150" s="3"/>
      <c r="B150" s="11"/>
      <c r="C150" s="3"/>
      <c r="D150" s="4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 customHeight="1" x14ac:dyDescent="0.15">
      <c r="A151" s="3"/>
      <c r="B151" s="11"/>
      <c r="C151" s="3"/>
      <c r="D151" s="4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 customHeight="1" x14ac:dyDescent="0.15">
      <c r="A152" s="3"/>
      <c r="B152" s="11"/>
      <c r="C152" s="3"/>
      <c r="D152" s="4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 customHeight="1" x14ac:dyDescent="0.15">
      <c r="A153" s="3"/>
      <c r="B153" s="11"/>
      <c r="C153" s="3"/>
      <c r="D153" s="4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 customHeight="1" x14ac:dyDescent="0.15">
      <c r="A154" s="3"/>
      <c r="B154" s="11"/>
      <c r="C154" s="3"/>
      <c r="D154" s="4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 customHeight="1" x14ac:dyDescent="0.15">
      <c r="A155" s="3"/>
      <c r="B155" s="11"/>
      <c r="C155" s="3"/>
      <c r="D155" s="4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 customHeight="1" x14ac:dyDescent="0.15">
      <c r="A156" s="3"/>
      <c r="B156" s="11"/>
      <c r="C156" s="3"/>
      <c r="D156" s="4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 customHeight="1" x14ac:dyDescent="0.15">
      <c r="A157" s="3"/>
      <c r="B157" s="11"/>
      <c r="C157" s="3"/>
      <c r="D157" s="4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 customHeight="1" x14ac:dyDescent="0.15">
      <c r="A158" s="3"/>
      <c r="B158" s="11"/>
      <c r="C158" s="3"/>
      <c r="D158" s="4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 customHeight="1" x14ac:dyDescent="0.15">
      <c r="A159" s="3"/>
      <c r="B159" s="11"/>
      <c r="C159" s="3"/>
      <c r="D159" s="4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 customHeight="1" x14ac:dyDescent="0.15">
      <c r="A160" s="3"/>
      <c r="B160" s="11"/>
      <c r="C160" s="3"/>
      <c r="D160" s="4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 customHeight="1" x14ac:dyDescent="0.15">
      <c r="A161" s="3"/>
      <c r="B161" s="11"/>
      <c r="C161" s="3"/>
      <c r="D161" s="4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 customHeight="1" x14ac:dyDescent="0.15">
      <c r="A162" s="3"/>
      <c r="B162" s="11"/>
      <c r="C162" s="3"/>
      <c r="D162" s="4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 customHeight="1" x14ac:dyDescent="0.15">
      <c r="A163" s="3"/>
      <c r="B163" s="11"/>
      <c r="C163" s="3"/>
      <c r="D163" s="4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 customHeight="1" x14ac:dyDescent="0.15">
      <c r="A164" s="3"/>
      <c r="B164" s="11"/>
      <c r="C164" s="3"/>
      <c r="D164" s="4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 x14ac:dyDescent="0.15">
      <c r="A165" s="3"/>
      <c r="B165" s="11"/>
      <c r="C165" s="3"/>
      <c r="D165" s="4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 x14ac:dyDescent="0.15">
      <c r="A166" s="3"/>
      <c r="B166" s="11"/>
      <c r="C166" s="3"/>
      <c r="D166" s="4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 x14ac:dyDescent="0.15">
      <c r="A167" s="3"/>
      <c r="B167" s="11"/>
      <c r="C167" s="3"/>
      <c r="D167" s="4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 x14ac:dyDescent="0.15">
      <c r="A168" s="3"/>
      <c r="B168" s="11"/>
      <c r="C168" s="3"/>
      <c r="D168" s="4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 x14ac:dyDescent="0.15">
      <c r="A169" s="3"/>
      <c r="B169" s="11"/>
      <c r="C169" s="3"/>
      <c r="D169" s="4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 x14ac:dyDescent="0.15">
      <c r="A170" s="3"/>
      <c r="B170" s="11"/>
      <c r="C170" s="3"/>
      <c r="D170" s="4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 x14ac:dyDescent="0.15">
      <c r="A171" s="3"/>
      <c r="B171" s="11"/>
      <c r="C171" s="3"/>
      <c r="D171" s="4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 x14ac:dyDescent="0.15">
      <c r="A172" s="3"/>
      <c r="B172" s="11"/>
      <c r="C172" s="3"/>
      <c r="D172" s="4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 x14ac:dyDescent="0.15">
      <c r="A173" s="3"/>
      <c r="B173" s="11"/>
      <c r="C173" s="3"/>
      <c r="D173" s="4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 x14ac:dyDescent="0.15">
      <c r="A174" s="3"/>
      <c r="B174" s="11"/>
      <c r="C174" s="3"/>
      <c r="D174" s="4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 x14ac:dyDescent="0.15">
      <c r="A175" s="3"/>
      <c r="B175" s="11"/>
      <c r="C175" s="3"/>
      <c r="D175" s="4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 x14ac:dyDescent="0.15">
      <c r="A176" s="3"/>
      <c r="B176" s="11"/>
      <c r="C176" s="3"/>
      <c r="D176" s="4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 x14ac:dyDescent="0.15">
      <c r="A177" s="3"/>
      <c r="B177" s="11"/>
      <c r="C177" s="3"/>
      <c r="D177" s="4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 x14ac:dyDescent="0.15">
      <c r="A178" s="3"/>
      <c r="B178" s="11"/>
      <c r="C178" s="3"/>
      <c r="D178" s="4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 x14ac:dyDescent="0.15">
      <c r="A179" s="3"/>
      <c r="B179" s="11"/>
      <c r="C179" s="3"/>
      <c r="D179" s="4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 x14ac:dyDescent="0.15">
      <c r="A180" s="3"/>
      <c r="B180" s="11"/>
      <c r="C180" s="3"/>
      <c r="D180" s="4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 x14ac:dyDescent="0.15">
      <c r="A181" s="3"/>
      <c r="B181" s="11"/>
      <c r="C181" s="3"/>
      <c r="D181" s="4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 x14ac:dyDescent="0.15">
      <c r="A182" s="3"/>
      <c r="B182" s="11"/>
      <c r="C182" s="3"/>
      <c r="D182" s="4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 x14ac:dyDescent="0.15">
      <c r="A183" s="3"/>
      <c r="B183" s="11"/>
      <c r="C183" s="3"/>
      <c r="D183" s="4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 x14ac:dyDescent="0.15">
      <c r="A184" s="3"/>
      <c r="B184" s="11"/>
      <c r="C184" s="3"/>
      <c r="D184" s="4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 x14ac:dyDescent="0.15">
      <c r="A185" s="3"/>
      <c r="B185" s="11"/>
      <c r="C185" s="3"/>
      <c r="D185" s="4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 x14ac:dyDescent="0.15">
      <c r="A186" s="3"/>
      <c r="B186" s="11"/>
      <c r="C186" s="3"/>
      <c r="D186" s="4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 x14ac:dyDescent="0.15">
      <c r="A187" s="3"/>
      <c r="B187" s="11"/>
      <c r="C187" s="3"/>
      <c r="D187" s="4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 x14ac:dyDescent="0.15">
      <c r="A188" s="3"/>
      <c r="B188" s="11"/>
      <c r="C188" s="3"/>
      <c r="D188" s="4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 x14ac:dyDescent="0.15">
      <c r="A189" s="3"/>
      <c r="B189" s="11"/>
      <c r="C189" s="3"/>
      <c r="D189" s="4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 x14ac:dyDescent="0.15">
      <c r="A190" s="3"/>
      <c r="B190" s="11"/>
      <c r="C190" s="3"/>
      <c r="D190" s="4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 x14ac:dyDescent="0.15">
      <c r="A191" s="3"/>
      <c r="B191" s="11"/>
      <c r="C191" s="3"/>
      <c r="D191" s="4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 x14ac:dyDescent="0.15">
      <c r="A192" s="3"/>
      <c r="B192" s="11"/>
      <c r="C192" s="3"/>
      <c r="D192" s="4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 x14ac:dyDescent="0.15">
      <c r="A193" s="3"/>
      <c r="B193" s="11"/>
      <c r="C193" s="3"/>
      <c r="D193" s="4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 x14ac:dyDescent="0.15">
      <c r="A194" s="3"/>
      <c r="B194" s="11"/>
      <c r="C194" s="3"/>
      <c r="D194" s="4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 x14ac:dyDescent="0.15">
      <c r="A195" s="3"/>
      <c r="B195" s="11"/>
      <c r="C195" s="3"/>
      <c r="D195" s="4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 x14ac:dyDescent="0.15">
      <c r="A196" s="3"/>
      <c r="B196" s="11"/>
      <c r="C196" s="3"/>
      <c r="D196" s="4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 x14ac:dyDescent="0.15">
      <c r="A197" s="3"/>
      <c r="B197" s="11"/>
      <c r="C197" s="3"/>
      <c r="D197" s="4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 x14ac:dyDescent="0.15">
      <c r="A198" s="3"/>
      <c r="B198" s="11"/>
      <c r="C198" s="3"/>
      <c r="D198" s="4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 x14ac:dyDescent="0.15">
      <c r="A199" s="3"/>
      <c r="B199" s="11"/>
      <c r="C199" s="3"/>
      <c r="D199" s="4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 x14ac:dyDescent="0.15">
      <c r="A200" s="3"/>
      <c r="B200" s="11"/>
      <c r="C200" s="3"/>
      <c r="D200" s="4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 x14ac:dyDescent="0.15">
      <c r="A201" s="3"/>
      <c r="B201" s="11"/>
      <c r="C201" s="3"/>
      <c r="D201" s="4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 x14ac:dyDescent="0.15">
      <c r="A202" s="3"/>
      <c r="B202" s="11"/>
      <c r="C202" s="3"/>
      <c r="D202" s="4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 x14ac:dyDescent="0.15">
      <c r="A203" s="3"/>
      <c r="B203" s="11"/>
      <c r="C203" s="3"/>
      <c r="D203" s="4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 x14ac:dyDescent="0.15">
      <c r="A204" s="3"/>
      <c r="B204" s="11"/>
      <c r="C204" s="3"/>
      <c r="D204" s="4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 x14ac:dyDescent="0.15">
      <c r="A205" s="3"/>
      <c r="B205" s="11"/>
      <c r="C205" s="3"/>
      <c r="D205" s="4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 x14ac:dyDescent="0.15">
      <c r="A206" s="3"/>
      <c r="B206" s="11"/>
      <c r="C206" s="3"/>
      <c r="D206" s="4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 x14ac:dyDescent="0.15">
      <c r="A207" s="3"/>
      <c r="B207" s="11"/>
      <c r="C207" s="3"/>
      <c r="D207" s="4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 x14ac:dyDescent="0.15">
      <c r="A208" s="3"/>
      <c r="B208" s="11"/>
      <c r="C208" s="3"/>
      <c r="D208" s="4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 x14ac:dyDescent="0.15">
      <c r="A209" s="3"/>
      <c r="B209" s="11"/>
      <c r="C209" s="3"/>
      <c r="D209" s="4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 x14ac:dyDescent="0.15">
      <c r="A210" s="3"/>
      <c r="B210" s="11"/>
      <c r="C210" s="3"/>
      <c r="D210" s="4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 x14ac:dyDescent="0.15">
      <c r="A211" s="3"/>
      <c r="B211" s="11"/>
      <c r="C211" s="3"/>
      <c r="D211" s="4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 x14ac:dyDescent="0.15">
      <c r="A212" s="3"/>
      <c r="B212" s="11"/>
      <c r="C212" s="3"/>
      <c r="D212" s="4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 x14ac:dyDescent="0.15">
      <c r="A213" s="3"/>
      <c r="B213" s="11"/>
      <c r="C213" s="3"/>
      <c r="D213" s="4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 x14ac:dyDescent="0.15">
      <c r="A214" s="3"/>
      <c r="B214" s="11"/>
      <c r="C214" s="3"/>
      <c r="D214" s="4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 x14ac:dyDescent="0.15">
      <c r="A215" s="3"/>
      <c r="B215" s="11"/>
      <c r="C215" s="3"/>
      <c r="D215" s="4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 x14ac:dyDescent="0.15">
      <c r="A216" s="3"/>
      <c r="B216" s="11"/>
      <c r="C216" s="3"/>
      <c r="D216" s="4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 x14ac:dyDescent="0.15">
      <c r="A217" s="3"/>
      <c r="B217" s="11"/>
      <c r="C217" s="3"/>
      <c r="D217" s="4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 x14ac:dyDescent="0.15">
      <c r="A218" s="3"/>
      <c r="B218" s="11"/>
      <c r="C218" s="3"/>
      <c r="D218" s="4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 x14ac:dyDescent="0.15">
      <c r="A219" s="3"/>
      <c r="B219" s="11"/>
      <c r="C219" s="3"/>
      <c r="D219" s="4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 x14ac:dyDescent="0.15">
      <c r="A220" s="3"/>
      <c r="B220" s="11"/>
      <c r="C220" s="3"/>
      <c r="D220" s="4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 x14ac:dyDescent="0.15">
      <c r="A221" s="3"/>
      <c r="B221" s="11"/>
      <c r="C221" s="3"/>
      <c r="D221" s="4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 x14ac:dyDescent="0.15">
      <c r="A222" s="3"/>
      <c r="B222" s="11"/>
      <c r="C222" s="3"/>
      <c r="D222" s="4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 x14ac:dyDescent="0.15">
      <c r="A223" s="3"/>
      <c r="B223" s="11"/>
      <c r="C223" s="3"/>
      <c r="D223" s="4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 x14ac:dyDescent="0.15">
      <c r="A224" s="3"/>
      <c r="B224" s="11"/>
      <c r="C224" s="3"/>
      <c r="D224" s="4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 x14ac:dyDescent="0.15">
      <c r="A225" s="3"/>
      <c r="B225" s="11"/>
      <c r="C225" s="3"/>
      <c r="D225" s="4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 x14ac:dyDescent="0.15">
      <c r="A226" s="3"/>
      <c r="B226" s="11"/>
      <c r="C226" s="3"/>
      <c r="D226" s="4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 x14ac:dyDescent="0.15">
      <c r="A227" s="3"/>
      <c r="B227" s="11"/>
      <c r="C227" s="3"/>
      <c r="D227" s="4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 x14ac:dyDescent="0.15">
      <c r="A228" s="3"/>
      <c r="B228" s="11"/>
      <c r="C228" s="3"/>
      <c r="D228" s="4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 x14ac:dyDescent="0.15">
      <c r="A229" s="3"/>
      <c r="B229" s="11"/>
      <c r="C229" s="3"/>
      <c r="D229" s="4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 x14ac:dyDescent="0.15">
      <c r="A230" s="3"/>
      <c r="B230" s="11"/>
      <c r="C230" s="3"/>
      <c r="D230" s="4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 x14ac:dyDescent="0.15">
      <c r="A231" s="3"/>
      <c r="B231" s="11"/>
      <c r="C231" s="3"/>
      <c r="D231" s="4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 x14ac:dyDescent="0.15">
      <c r="A232" s="3"/>
      <c r="B232" s="11"/>
      <c r="C232" s="3"/>
      <c r="D232" s="4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 x14ac:dyDescent="0.15">
      <c r="A233" s="3"/>
      <c r="B233" s="11"/>
      <c r="C233" s="3"/>
      <c r="D233" s="4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 x14ac:dyDescent="0.15">
      <c r="A234" s="3"/>
      <c r="B234" s="11"/>
      <c r="C234" s="3"/>
      <c r="D234" s="4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 x14ac:dyDescent="0.15">
      <c r="A235" s="3"/>
      <c r="B235" s="11"/>
      <c r="C235" s="3"/>
      <c r="D235" s="4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 x14ac:dyDescent="0.15">
      <c r="A236" s="3"/>
      <c r="B236" s="11"/>
      <c r="C236" s="3"/>
      <c r="D236" s="4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 x14ac:dyDescent="0.15">
      <c r="A237" s="3"/>
      <c r="B237" s="11"/>
      <c r="C237" s="3"/>
      <c r="D237" s="4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 x14ac:dyDescent="0.15">
      <c r="A238" s="3"/>
      <c r="B238" s="11"/>
      <c r="C238" s="3"/>
      <c r="D238" s="4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 x14ac:dyDescent="0.15">
      <c r="A239" s="3"/>
      <c r="B239" s="11"/>
      <c r="C239" s="3"/>
      <c r="D239" s="4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 x14ac:dyDescent="0.15">
      <c r="A240" s="3"/>
      <c r="B240" s="11"/>
      <c r="C240" s="3"/>
      <c r="D240" s="4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 x14ac:dyDescent="0.15">
      <c r="A241" s="3"/>
      <c r="B241" s="11"/>
      <c r="C241" s="3"/>
      <c r="D241" s="4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 x14ac:dyDescent="0.15">
      <c r="A242" s="3"/>
      <c r="B242" s="11"/>
      <c r="C242" s="3"/>
      <c r="D242" s="4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 x14ac:dyDescent="0.15">
      <c r="A243" s="3"/>
      <c r="B243" s="11"/>
      <c r="C243" s="3"/>
      <c r="D243" s="4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 x14ac:dyDescent="0.15">
      <c r="A244" s="3"/>
      <c r="B244" s="11"/>
      <c r="C244" s="3"/>
      <c r="D244" s="4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 x14ac:dyDescent="0.15">
      <c r="A245" s="3"/>
      <c r="B245" s="11"/>
      <c r="C245" s="3"/>
      <c r="D245" s="4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 x14ac:dyDescent="0.15">
      <c r="A246" s="3"/>
      <c r="B246" s="11"/>
      <c r="C246" s="3"/>
      <c r="D246" s="4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 x14ac:dyDescent="0.15">
      <c r="A247" s="3"/>
      <c r="B247" s="11"/>
      <c r="C247" s="3"/>
      <c r="D247" s="4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 x14ac:dyDescent="0.15">
      <c r="A248" s="3"/>
      <c r="B248" s="11"/>
      <c r="C248" s="3"/>
      <c r="D248" s="4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 x14ac:dyDescent="0.15">
      <c r="A249" s="3"/>
      <c r="B249" s="11"/>
      <c r="C249" s="3"/>
      <c r="D249" s="4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 x14ac:dyDescent="0.15">
      <c r="A250" s="3"/>
      <c r="B250" s="11"/>
      <c r="C250" s="3"/>
      <c r="D250" s="4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 x14ac:dyDescent="0.15">
      <c r="A251" s="3"/>
      <c r="B251" s="11"/>
      <c r="C251" s="3"/>
      <c r="D251" s="4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 x14ac:dyDescent="0.15">
      <c r="A252" s="3"/>
      <c r="B252" s="11"/>
      <c r="C252" s="3"/>
      <c r="D252" s="4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 x14ac:dyDescent="0.15">
      <c r="A253" s="3"/>
      <c r="B253" s="11"/>
      <c r="C253" s="3"/>
      <c r="D253" s="4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 x14ac:dyDescent="0.15">
      <c r="A254" s="3"/>
      <c r="B254" s="11"/>
      <c r="C254" s="3"/>
      <c r="D254" s="4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 x14ac:dyDescent="0.15">
      <c r="A255" s="3"/>
      <c r="B255" s="11"/>
      <c r="C255" s="3"/>
      <c r="D255" s="4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 x14ac:dyDescent="0.15">
      <c r="A256" s="3"/>
      <c r="B256" s="11"/>
      <c r="C256" s="3"/>
      <c r="D256" s="4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 x14ac:dyDescent="0.15">
      <c r="A257" s="3"/>
      <c r="B257" s="11"/>
      <c r="C257" s="3"/>
      <c r="D257" s="4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 x14ac:dyDescent="0.15">
      <c r="A258" s="3"/>
      <c r="B258" s="11"/>
      <c r="C258" s="3"/>
      <c r="D258" s="4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 x14ac:dyDescent="0.15">
      <c r="A259" s="3"/>
      <c r="B259" s="11"/>
      <c r="C259" s="3"/>
      <c r="D259" s="4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 x14ac:dyDescent="0.15">
      <c r="A260" s="3"/>
      <c r="B260" s="11"/>
      <c r="C260" s="3"/>
      <c r="D260" s="4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 x14ac:dyDescent="0.15">
      <c r="A261" s="3"/>
      <c r="B261" s="11"/>
      <c r="C261" s="3"/>
      <c r="D261" s="4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 x14ac:dyDescent="0.15">
      <c r="A262" s="3"/>
      <c r="B262" s="11"/>
      <c r="C262" s="3"/>
      <c r="D262" s="4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 x14ac:dyDescent="0.15">
      <c r="A263" s="3"/>
      <c r="B263" s="11"/>
      <c r="C263" s="3"/>
      <c r="D263" s="4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 x14ac:dyDescent="0.15">
      <c r="A264" s="3"/>
      <c r="B264" s="11"/>
      <c r="C264" s="3"/>
      <c r="D264" s="4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 x14ac:dyDescent="0.15">
      <c r="A265" s="3"/>
      <c r="B265" s="11"/>
      <c r="C265" s="3"/>
      <c r="D265" s="4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 x14ac:dyDescent="0.15">
      <c r="A266" s="3"/>
      <c r="B266" s="11"/>
      <c r="C266" s="3"/>
      <c r="D266" s="4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 x14ac:dyDescent="0.15">
      <c r="A267" s="3"/>
      <c r="B267" s="11"/>
      <c r="C267" s="3"/>
      <c r="D267" s="4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 x14ac:dyDescent="0.15">
      <c r="A268" s="3"/>
      <c r="B268" s="11"/>
      <c r="C268" s="3"/>
      <c r="D268" s="4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 x14ac:dyDescent="0.15">
      <c r="A269" s="3"/>
      <c r="B269" s="11"/>
      <c r="C269" s="3"/>
      <c r="D269" s="4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 x14ac:dyDescent="0.15">
      <c r="A270" s="3"/>
      <c r="B270" s="11"/>
      <c r="C270" s="3"/>
      <c r="D270" s="4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 x14ac:dyDescent="0.15">
      <c r="A271" s="3"/>
      <c r="B271" s="11"/>
      <c r="C271" s="3"/>
      <c r="D271" s="4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 x14ac:dyDescent="0.15">
      <c r="A272" s="3"/>
      <c r="B272" s="11"/>
      <c r="C272" s="3"/>
      <c r="D272" s="4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 x14ac:dyDescent="0.15">
      <c r="A273" s="3"/>
      <c r="B273" s="11"/>
      <c r="C273" s="3"/>
      <c r="D273" s="4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 x14ac:dyDescent="0.15">
      <c r="A274" s="3"/>
      <c r="B274" s="11"/>
      <c r="C274" s="3"/>
      <c r="D274" s="4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 x14ac:dyDescent="0.15">
      <c r="A275" s="3"/>
      <c r="B275" s="11"/>
      <c r="C275" s="3"/>
      <c r="D275" s="4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 x14ac:dyDescent="0.15">
      <c r="A276" s="3"/>
      <c r="B276" s="11"/>
      <c r="C276" s="3"/>
      <c r="D276" s="4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 x14ac:dyDescent="0.15">
      <c r="A277" s="3"/>
      <c r="B277" s="11"/>
      <c r="C277" s="3"/>
      <c r="D277" s="4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 x14ac:dyDescent="0.15">
      <c r="A278" s="3"/>
      <c r="B278" s="11"/>
      <c r="C278" s="3"/>
      <c r="D278" s="4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 x14ac:dyDescent="0.15">
      <c r="A279" s="3"/>
      <c r="B279" s="11"/>
      <c r="C279" s="3"/>
      <c r="D279" s="4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 x14ac:dyDescent="0.15">
      <c r="A280" s="3"/>
      <c r="B280" s="11"/>
      <c r="C280" s="3"/>
      <c r="D280" s="4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 x14ac:dyDescent="0.15">
      <c r="A281" s="3"/>
      <c r="B281" s="11"/>
      <c r="C281" s="3"/>
      <c r="D281" s="4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 x14ac:dyDescent="0.15">
      <c r="A282" s="3"/>
      <c r="B282" s="11"/>
      <c r="C282" s="3"/>
      <c r="D282" s="4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 x14ac:dyDescent="0.15">
      <c r="A283" s="3"/>
      <c r="B283" s="11"/>
      <c r="C283" s="3"/>
      <c r="D283" s="4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 x14ac:dyDescent="0.15">
      <c r="A284" s="3"/>
      <c r="B284" s="11"/>
      <c r="C284" s="3"/>
      <c r="D284" s="4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 x14ac:dyDescent="0.15">
      <c r="A285" s="3"/>
      <c r="B285" s="11"/>
      <c r="C285" s="3"/>
      <c r="D285" s="4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 x14ac:dyDescent="0.15">
      <c r="A286" s="3"/>
      <c r="B286" s="11"/>
      <c r="C286" s="3"/>
      <c r="D286" s="4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 x14ac:dyDescent="0.15">
      <c r="A287" s="3"/>
      <c r="B287" s="11"/>
      <c r="C287" s="3"/>
      <c r="D287" s="4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 x14ac:dyDescent="0.15">
      <c r="A288" s="3"/>
      <c r="B288" s="11"/>
      <c r="C288" s="3"/>
      <c r="D288" s="4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 x14ac:dyDescent="0.15">
      <c r="A289" s="3"/>
      <c r="B289" s="11"/>
      <c r="C289" s="3"/>
      <c r="D289" s="4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 x14ac:dyDescent="0.15">
      <c r="A290" s="3"/>
      <c r="B290" s="11"/>
      <c r="C290" s="3"/>
      <c r="D290" s="4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 x14ac:dyDescent="0.15">
      <c r="A291" s="3"/>
      <c r="B291" s="11"/>
      <c r="C291" s="3"/>
      <c r="D291" s="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 x14ac:dyDescent="0.15">
      <c r="A292" s="3"/>
      <c r="B292" s="11"/>
      <c r="C292" s="3"/>
      <c r="D292" s="4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 x14ac:dyDescent="0.15">
      <c r="A293" s="3"/>
      <c r="B293" s="11"/>
      <c r="C293" s="3"/>
      <c r="D293" s="4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 x14ac:dyDescent="0.15">
      <c r="A294" s="3"/>
      <c r="B294" s="11"/>
      <c r="C294" s="3"/>
      <c r="D294" s="4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 x14ac:dyDescent="0.15">
      <c r="A295" s="3"/>
      <c r="B295" s="11"/>
      <c r="C295" s="3"/>
      <c r="D295" s="4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 x14ac:dyDescent="0.15">
      <c r="A296" s="3"/>
      <c r="B296" s="11"/>
      <c r="C296" s="3"/>
      <c r="D296" s="4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 x14ac:dyDescent="0.15">
      <c r="A297" s="3"/>
      <c r="B297" s="11"/>
      <c r="C297" s="3"/>
      <c r="D297" s="4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 x14ac:dyDescent="0.15">
      <c r="A298" s="3"/>
      <c r="B298" s="11"/>
      <c r="C298" s="3"/>
      <c r="D298" s="4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 x14ac:dyDescent="0.15">
      <c r="A299" s="3"/>
      <c r="B299" s="11"/>
      <c r="C299" s="3"/>
      <c r="D299" s="4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 x14ac:dyDescent="0.15">
      <c r="A300" s="3"/>
      <c r="B300" s="11"/>
      <c r="C300" s="3"/>
      <c r="D300" s="4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 x14ac:dyDescent="0.15">
      <c r="A301" s="3"/>
      <c r="B301" s="11"/>
      <c r="C301" s="3"/>
      <c r="D301" s="4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 x14ac:dyDescent="0.15">
      <c r="A302" s="3"/>
      <c r="B302" s="11"/>
      <c r="C302" s="3"/>
      <c r="D302" s="4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 x14ac:dyDescent="0.15">
      <c r="A303" s="3"/>
      <c r="B303" s="11"/>
      <c r="C303" s="3"/>
      <c r="D303" s="4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 x14ac:dyDescent="0.15">
      <c r="A304" s="3"/>
      <c r="B304" s="11"/>
      <c r="C304" s="3"/>
      <c r="D304" s="4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 x14ac:dyDescent="0.15">
      <c r="A305" s="3"/>
      <c r="B305" s="11"/>
      <c r="C305" s="3"/>
      <c r="D305" s="4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 x14ac:dyDescent="0.15">
      <c r="A306" s="3"/>
      <c r="B306" s="11"/>
      <c r="C306" s="3"/>
      <c r="D306" s="4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 x14ac:dyDescent="0.15">
      <c r="A307" s="3"/>
      <c r="B307" s="11"/>
      <c r="C307" s="3"/>
      <c r="D307" s="4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 x14ac:dyDescent="0.15">
      <c r="A308" s="3"/>
      <c r="B308" s="11"/>
      <c r="C308" s="3"/>
      <c r="D308" s="4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 x14ac:dyDescent="0.15">
      <c r="A309" s="3"/>
      <c r="B309" s="11"/>
      <c r="C309" s="3"/>
      <c r="D309" s="4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 x14ac:dyDescent="0.15">
      <c r="A310" s="3"/>
      <c r="B310" s="11"/>
      <c r="C310" s="3"/>
      <c r="D310" s="4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 x14ac:dyDescent="0.15">
      <c r="A311" s="3"/>
      <c r="B311" s="11"/>
      <c r="C311" s="3"/>
      <c r="D311" s="4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 x14ac:dyDescent="0.15">
      <c r="A312" s="3"/>
      <c r="B312" s="11"/>
      <c r="C312" s="3"/>
      <c r="D312" s="4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 x14ac:dyDescent="0.15">
      <c r="A313" s="3"/>
      <c r="B313" s="11"/>
      <c r="C313" s="3"/>
      <c r="D313" s="4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 x14ac:dyDescent="0.15">
      <c r="A314" s="3"/>
      <c r="B314" s="11"/>
      <c r="C314" s="3"/>
      <c r="D314" s="4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 x14ac:dyDescent="0.15">
      <c r="A315" s="3"/>
      <c r="B315" s="11"/>
      <c r="C315" s="3"/>
      <c r="D315" s="4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 x14ac:dyDescent="0.15">
      <c r="A316" s="3"/>
      <c r="B316" s="11"/>
      <c r="C316" s="3"/>
      <c r="D316" s="4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 x14ac:dyDescent="0.15">
      <c r="A317" s="3"/>
      <c r="B317" s="11"/>
      <c r="C317" s="3"/>
      <c r="D317" s="4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 x14ac:dyDescent="0.15">
      <c r="A318" s="3"/>
      <c r="B318" s="11"/>
      <c r="C318" s="3"/>
      <c r="D318" s="4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 x14ac:dyDescent="0.15">
      <c r="A319" s="3"/>
      <c r="B319" s="11"/>
      <c r="C319" s="3"/>
      <c r="D319" s="4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 x14ac:dyDescent="0.15">
      <c r="A320" s="3"/>
      <c r="B320" s="11"/>
      <c r="C320" s="3"/>
      <c r="D320" s="4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 x14ac:dyDescent="0.15">
      <c r="A321" s="3"/>
      <c r="B321" s="11"/>
      <c r="C321" s="3"/>
      <c r="D321" s="4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 x14ac:dyDescent="0.15">
      <c r="A322" s="3"/>
      <c r="B322" s="11"/>
      <c r="C322" s="3"/>
      <c r="D322" s="4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 x14ac:dyDescent="0.15">
      <c r="A323" s="3"/>
      <c r="B323" s="11"/>
      <c r="C323" s="3"/>
      <c r="D323" s="4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 x14ac:dyDescent="0.15">
      <c r="A324" s="3"/>
      <c r="B324" s="11"/>
      <c r="C324" s="3"/>
      <c r="D324" s="4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 x14ac:dyDescent="0.15">
      <c r="A325" s="3"/>
      <c r="B325" s="11"/>
      <c r="C325" s="3"/>
      <c r="D325" s="4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 x14ac:dyDescent="0.15">
      <c r="A326" s="3"/>
      <c r="B326" s="11"/>
      <c r="C326" s="3"/>
      <c r="D326" s="4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 x14ac:dyDescent="0.15">
      <c r="A327" s="3"/>
      <c r="B327" s="11"/>
      <c r="C327" s="3"/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 x14ac:dyDescent="0.15">
      <c r="A328" s="3"/>
      <c r="B328" s="11"/>
      <c r="C328" s="3"/>
      <c r="D328" s="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 x14ac:dyDescent="0.15">
      <c r="A329" s="3"/>
      <c r="B329" s="11"/>
      <c r="C329" s="3"/>
      <c r="D329" s="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 x14ac:dyDescent="0.15">
      <c r="A330" s="3"/>
      <c r="B330" s="11"/>
      <c r="C330" s="3"/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 x14ac:dyDescent="0.15">
      <c r="A331" s="3"/>
      <c r="B331" s="11"/>
      <c r="C331" s="3"/>
      <c r="D331" s="4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 x14ac:dyDescent="0.15">
      <c r="A332" s="3"/>
      <c r="B332" s="11"/>
      <c r="C332" s="3"/>
      <c r="D332" s="4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 x14ac:dyDescent="0.15">
      <c r="A333" s="3"/>
      <c r="B333" s="11"/>
      <c r="C333" s="3"/>
      <c r="D333" s="4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 x14ac:dyDescent="0.15">
      <c r="A334" s="3"/>
      <c r="B334" s="11"/>
      <c r="C334" s="3"/>
      <c r="D334" s="4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 x14ac:dyDescent="0.15">
      <c r="A335" s="3"/>
      <c r="B335" s="11"/>
      <c r="C335" s="3"/>
      <c r="D335" s="4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 x14ac:dyDescent="0.15">
      <c r="A336" s="3"/>
      <c r="B336" s="11"/>
      <c r="C336" s="3"/>
      <c r="D336" s="4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 x14ac:dyDescent="0.15">
      <c r="A337" s="3"/>
      <c r="B337" s="11"/>
      <c r="C337" s="3"/>
      <c r="D337" s="4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 x14ac:dyDescent="0.15">
      <c r="A338" s="3"/>
      <c r="B338" s="11"/>
      <c r="C338" s="3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 x14ac:dyDescent="0.15">
      <c r="A339" s="3"/>
      <c r="B339" s="11"/>
      <c r="C339" s="3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 x14ac:dyDescent="0.15">
      <c r="A340" s="3"/>
      <c r="B340" s="11"/>
      <c r="C340" s="3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 x14ac:dyDescent="0.15">
      <c r="A341" s="3"/>
      <c r="B341" s="11"/>
      <c r="C341" s="3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 x14ac:dyDescent="0.15">
      <c r="A342" s="3"/>
      <c r="B342" s="11"/>
      <c r="C342" s="3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 x14ac:dyDescent="0.15">
      <c r="A343" s="3"/>
      <c r="B343" s="11"/>
      <c r="C343" s="3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 x14ac:dyDescent="0.15">
      <c r="A344" s="3"/>
      <c r="B344" s="11"/>
      <c r="C344" s="3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 x14ac:dyDescent="0.15">
      <c r="A345" s="3"/>
      <c r="B345" s="11"/>
      <c r="C345" s="3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 x14ac:dyDescent="0.15">
      <c r="A346" s="3"/>
      <c r="B346" s="11"/>
      <c r="C346" s="3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 x14ac:dyDescent="0.15">
      <c r="A347" s="3"/>
      <c r="B347" s="11"/>
      <c r="C347" s="3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 x14ac:dyDescent="0.15">
      <c r="A348" s="3"/>
      <c r="B348" s="11"/>
      <c r="C348" s="3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 x14ac:dyDescent="0.15">
      <c r="A349" s="3"/>
      <c r="B349" s="11"/>
      <c r="C349" s="3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 x14ac:dyDescent="0.15">
      <c r="A350" s="3"/>
      <c r="B350" s="11"/>
      <c r="C350" s="3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 x14ac:dyDescent="0.15">
      <c r="A351" s="3"/>
      <c r="B351" s="11"/>
      <c r="C351" s="3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 x14ac:dyDescent="0.15">
      <c r="A352" s="3"/>
      <c r="B352" s="11"/>
      <c r="C352" s="3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 x14ac:dyDescent="0.15">
      <c r="A353" s="3"/>
      <c r="B353" s="11"/>
      <c r="C353" s="3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 x14ac:dyDescent="0.15">
      <c r="A354" s="3"/>
      <c r="B354" s="11"/>
      <c r="C354" s="3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 x14ac:dyDescent="0.15">
      <c r="A355" s="3"/>
      <c r="B355" s="11"/>
      <c r="C355" s="3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 x14ac:dyDescent="0.15">
      <c r="A356" s="3"/>
      <c r="B356" s="11"/>
      <c r="C356" s="3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 x14ac:dyDescent="0.15">
      <c r="A357" s="3"/>
      <c r="B357" s="11"/>
      <c r="C357" s="3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 x14ac:dyDescent="0.15">
      <c r="A358" s="3"/>
      <c r="B358" s="11"/>
      <c r="C358" s="3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 x14ac:dyDescent="0.15">
      <c r="A359" s="3"/>
      <c r="B359" s="11"/>
      <c r="C359" s="3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 x14ac:dyDescent="0.15">
      <c r="A360" s="3"/>
      <c r="B360" s="11"/>
      <c r="C360" s="3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 x14ac:dyDescent="0.15">
      <c r="A361" s="3"/>
      <c r="B361" s="11"/>
      <c r="C361" s="3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 x14ac:dyDescent="0.15">
      <c r="A362" s="3"/>
      <c r="B362" s="11"/>
      <c r="C362" s="3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 x14ac:dyDescent="0.15">
      <c r="A363" s="3"/>
      <c r="B363" s="11"/>
      <c r="C363" s="3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 x14ac:dyDescent="0.15">
      <c r="A364" s="3"/>
      <c r="B364" s="11"/>
      <c r="C364" s="3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 x14ac:dyDescent="0.15">
      <c r="A365" s="3"/>
      <c r="B365" s="11"/>
      <c r="C365" s="3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 x14ac:dyDescent="0.15">
      <c r="A366" s="3"/>
      <c r="B366" s="11"/>
      <c r="C366" s="3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 x14ac:dyDescent="0.15">
      <c r="A367" s="3"/>
      <c r="B367" s="11"/>
      <c r="C367" s="3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 x14ac:dyDescent="0.15">
      <c r="A368" s="3"/>
      <c r="B368" s="11"/>
      <c r="C368" s="3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 x14ac:dyDescent="0.15">
      <c r="A369" s="3"/>
      <c r="B369" s="11"/>
      <c r="C369" s="3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 x14ac:dyDescent="0.15">
      <c r="A370" s="3"/>
      <c r="B370" s="11"/>
      <c r="C370" s="3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 x14ac:dyDescent="0.15">
      <c r="A371" s="3"/>
      <c r="B371" s="11"/>
      <c r="C371" s="3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 x14ac:dyDescent="0.15">
      <c r="A372" s="3"/>
      <c r="B372" s="11"/>
      <c r="C372" s="3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 x14ac:dyDescent="0.15">
      <c r="A373" s="3"/>
      <c r="B373" s="11"/>
      <c r="C373" s="3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 x14ac:dyDescent="0.15">
      <c r="A374" s="3"/>
      <c r="B374" s="11"/>
      <c r="C374" s="3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 x14ac:dyDescent="0.15">
      <c r="A375" s="3"/>
      <c r="B375" s="11"/>
      <c r="C375" s="3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 x14ac:dyDescent="0.15">
      <c r="A376" s="3"/>
      <c r="B376" s="11"/>
      <c r="C376" s="3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 x14ac:dyDescent="0.15">
      <c r="A377" s="3"/>
      <c r="B377" s="11"/>
      <c r="C377" s="3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 x14ac:dyDescent="0.15">
      <c r="A378" s="3"/>
      <c r="B378" s="11"/>
      <c r="C378" s="3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 x14ac:dyDescent="0.15">
      <c r="A379" s="3"/>
      <c r="B379" s="11"/>
      <c r="C379" s="3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 x14ac:dyDescent="0.15">
      <c r="A380" s="3"/>
      <c r="B380" s="11"/>
      <c r="C380" s="3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 x14ac:dyDescent="0.15">
      <c r="A381" s="3"/>
      <c r="B381" s="11"/>
      <c r="C381" s="3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 x14ac:dyDescent="0.15">
      <c r="A382" s="3"/>
      <c r="B382" s="11"/>
      <c r="C382" s="3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 x14ac:dyDescent="0.15">
      <c r="A383" s="3"/>
      <c r="B383" s="11"/>
      <c r="C383" s="3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 x14ac:dyDescent="0.15">
      <c r="A384" s="3"/>
      <c r="B384" s="11"/>
      <c r="C384" s="3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 x14ac:dyDescent="0.15">
      <c r="A385" s="3"/>
      <c r="B385" s="11"/>
      <c r="C385" s="3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 x14ac:dyDescent="0.15">
      <c r="A386" s="3"/>
      <c r="B386" s="11"/>
      <c r="C386" s="3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 x14ac:dyDescent="0.15">
      <c r="A387" s="3"/>
      <c r="B387" s="11"/>
      <c r="C387" s="3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 x14ac:dyDescent="0.15">
      <c r="A388" s="3"/>
      <c r="B388" s="11"/>
      <c r="C388" s="3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 x14ac:dyDescent="0.15">
      <c r="A389" s="3"/>
      <c r="B389" s="11"/>
      <c r="C389" s="3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 x14ac:dyDescent="0.15">
      <c r="A390" s="3"/>
      <c r="B390" s="11"/>
      <c r="C390" s="3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 x14ac:dyDescent="0.15">
      <c r="A391" s="3"/>
      <c r="B391" s="11"/>
      <c r="C391" s="3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 x14ac:dyDescent="0.15">
      <c r="A392" s="3"/>
      <c r="B392" s="11"/>
      <c r="C392" s="3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 x14ac:dyDescent="0.15">
      <c r="A393" s="3"/>
      <c r="B393" s="11"/>
      <c r="C393" s="3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 x14ac:dyDescent="0.15">
      <c r="A394" s="3"/>
      <c r="B394" s="11"/>
      <c r="C394" s="3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 x14ac:dyDescent="0.15">
      <c r="A395" s="3"/>
      <c r="B395" s="11"/>
      <c r="C395" s="3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 x14ac:dyDescent="0.15">
      <c r="A396" s="3"/>
      <c r="B396" s="11"/>
      <c r="C396" s="3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 x14ac:dyDescent="0.15">
      <c r="A397" s="3"/>
      <c r="B397" s="11"/>
      <c r="C397" s="3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 x14ac:dyDescent="0.15">
      <c r="A398" s="3"/>
      <c r="B398" s="11"/>
      <c r="C398" s="3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 x14ac:dyDescent="0.15">
      <c r="A399" s="3"/>
      <c r="B399" s="11"/>
      <c r="C399" s="3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 x14ac:dyDescent="0.15">
      <c r="A400" s="3"/>
      <c r="B400" s="11"/>
      <c r="C400" s="3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 x14ac:dyDescent="0.15">
      <c r="A401" s="3"/>
      <c r="B401" s="11"/>
      <c r="C401" s="3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 x14ac:dyDescent="0.15">
      <c r="A402" s="3"/>
      <c r="B402" s="11"/>
      <c r="C402" s="3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 x14ac:dyDescent="0.15">
      <c r="A403" s="3"/>
      <c r="B403" s="11"/>
      <c r="C403" s="3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 x14ac:dyDescent="0.15">
      <c r="A404" s="3"/>
      <c r="B404" s="11"/>
      <c r="C404" s="3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 x14ac:dyDescent="0.15">
      <c r="A405" s="3"/>
      <c r="B405" s="11"/>
      <c r="C405" s="3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 x14ac:dyDescent="0.15">
      <c r="A406" s="3"/>
      <c r="B406" s="11"/>
      <c r="C406" s="3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 x14ac:dyDescent="0.15">
      <c r="A407" s="3"/>
      <c r="B407" s="11"/>
      <c r="C407" s="3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 x14ac:dyDescent="0.15">
      <c r="A408" s="3"/>
      <c r="B408" s="11"/>
      <c r="C408" s="3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 x14ac:dyDescent="0.15">
      <c r="A409" s="3"/>
      <c r="B409" s="11"/>
      <c r="C409" s="3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 x14ac:dyDescent="0.15">
      <c r="A410" s="3"/>
      <c r="B410" s="11"/>
      <c r="C410" s="3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 x14ac:dyDescent="0.15">
      <c r="A411" s="3"/>
      <c r="B411" s="11"/>
      <c r="C411" s="3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 x14ac:dyDescent="0.15">
      <c r="A412" s="3"/>
      <c r="B412" s="11"/>
      <c r="C412" s="3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 x14ac:dyDescent="0.15">
      <c r="A413" s="3"/>
      <c r="B413" s="11"/>
      <c r="C413" s="3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 x14ac:dyDescent="0.15">
      <c r="A414" s="3"/>
      <c r="B414" s="11"/>
      <c r="C414" s="3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 x14ac:dyDescent="0.15">
      <c r="A415" s="3"/>
      <c r="B415" s="11"/>
      <c r="C415" s="3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 x14ac:dyDescent="0.15">
      <c r="A416" s="3"/>
      <c r="B416" s="11"/>
      <c r="C416" s="3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 x14ac:dyDescent="0.15">
      <c r="A417" s="3"/>
      <c r="B417" s="11"/>
      <c r="C417" s="3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 x14ac:dyDescent="0.15">
      <c r="A418" s="3"/>
      <c r="B418" s="11"/>
      <c r="C418" s="3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 x14ac:dyDescent="0.15">
      <c r="A419" s="3"/>
      <c r="B419" s="11"/>
      <c r="C419" s="3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 x14ac:dyDescent="0.15">
      <c r="A420" s="3"/>
      <c r="B420" s="11"/>
      <c r="C420" s="3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 x14ac:dyDescent="0.15">
      <c r="A421" s="3"/>
      <c r="B421" s="11"/>
      <c r="C421" s="3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 x14ac:dyDescent="0.15">
      <c r="A422" s="3"/>
      <c r="B422" s="11"/>
      <c r="C422" s="3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 x14ac:dyDescent="0.15">
      <c r="A423" s="3"/>
      <c r="B423" s="11"/>
      <c r="C423" s="3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 x14ac:dyDescent="0.15">
      <c r="A424" s="3"/>
      <c r="B424" s="11"/>
      <c r="C424" s="3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 x14ac:dyDescent="0.15">
      <c r="A425" s="3"/>
      <c r="B425" s="11"/>
      <c r="C425" s="3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 x14ac:dyDescent="0.15">
      <c r="A426" s="3"/>
      <c r="B426" s="11"/>
      <c r="C426" s="3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 x14ac:dyDescent="0.15">
      <c r="A427" s="3"/>
      <c r="B427" s="11"/>
      <c r="C427" s="3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 x14ac:dyDescent="0.15">
      <c r="A428" s="3"/>
      <c r="B428" s="11"/>
      <c r="C428" s="3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 x14ac:dyDescent="0.15">
      <c r="A429" s="3"/>
      <c r="B429" s="11"/>
      <c r="C429" s="3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 x14ac:dyDescent="0.15">
      <c r="A430" s="3"/>
      <c r="B430" s="11"/>
      <c r="C430" s="3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 x14ac:dyDescent="0.15">
      <c r="A431" s="3"/>
      <c r="B431" s="11"/>
      <c r="C431" s="3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 x14ac:dyDescent="0.15">
      <c r="A432" s="3"/>
      <c r="B432" s="11"/>
      <c r="C432" s="3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 x14ac:dyDescent="0.15">
      <c r="A433" s="3"/>
      <c r="B433" s="11"/>
      <c r="C433" s="3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 x14ac:dyDescent="0.15">
      <c r="A434" s="3"/>
      <c r="B434" s="11"/>
      <c r="C434" s="3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 x14ac:dyDescent="0.15">
      <c r="A435" s="3"/>
      <c r="B435" s="11"/>
      <c r="C435" s="3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 x14ac:dyDescent="0.15">
      <c r="A436" s="3"/>
      <c r="B436" s="11"/>
      <c r="C436" s="3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 x14ac:dyDescent="0.15">
      <c r="A437" s="3"/>
      <c r="B437" s="11"/>
      <c r="C437" s="3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 x14ac:dyDescent="0.15">
      <c r="A438" s="3"/>
      <c r="B438" s="11"/>
      <c r="C438" s="3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 x14ac:dyDescent="0.15">
      <c r="A439" s="3"/>
      <c r="B439" s="11"/>
      <c r="C439" s="3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 x14ac:dyDescent="0.15">
      <c r="A440" s="3"/>
      <c r="B440" s="11"/>
      <c r="C440" s="3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 x14ac:dyDescent="0.15">
      <c r="A441" s="3"/>
      <c r="B441" s="11"/>
      <c r="C441" s="3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 x14ac:dyDescent="0.15">
      <c r="A442" s="3"/>
      <c r="B442" s="11"/>
      <c r="C442" s="3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 x14ac:dyDescent="0.15">
      <c r="A443" s="3"/>
      <c r="B443" s="11"/>
      <c r="C443" s="3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 x14ac:dyDescent="0.15">
      <c r="A444" s="3"/>
      <c r="B444" s="11"/>
      <c r="C444" s="3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 x14ac:dyDescent="0.15">
      <c r="A445" s="3"/>
      <c r="B445" s="11"/>
      <c r="C445" s="3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 x14ac:dyDescent="0.15">
      <c r="A446" s="3"/>
      <c r="B446" s="11"/>
      <c r="C446" s="3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 x14ac:dyDescent="0.15">
      <c r="A447" s="3"/>
      <c r="B447" s="11"/>
      <c r="C447" s="3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 x14ac:dyDescent="0.15">
      <c r="A448" s="3"/>
      <c r="B448" s="11"/>
      <c r="C448" s="3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 x14ac:dyDescent="0.15">
      <c r="A449" s="3"/>
      <c r="B449" s="11"/>
      <c r="C449" s="3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 x14ac:dyDescent="0.15">
      <c r="A450" s="3"/>
      <c r="B450" s="11"/>
      <c r="C450" s="3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 x14ac:dyDescent="0.15">
      <c r="A451" s="3"/>
      <c r="B451" s="11"/>
      <c r="C451" s="3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 x14ac:dyDescent="0.15">
      <c r="A452" s="3"/>
      <c r="B452" s="11"/>
      <c r="C452" s="3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 x14ac:dyDescent="0.15">
      <c r="A453" s="3"/>
      <c r="B453" s="11"/>
      <c r="C453" s="3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 x14ac:dyDescent="0.15">
      <c r="A454" s="3"/>
      <c r="B454" s="11"/>
      <c r="C454" s="3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 x14ac:dyDescent="0.15">
      <c r="A455" s="3"/>
      <c r="B455" s="11"/>
      <c r="C455" s="3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 x14ac:dyDescent="0.15">
      <c r="A456" s="3"/>
      <c r="B456" s="11"/>
      <c r="C456" s="3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 x14ac:dyDescent="0.15">
      <c r="A457" s="3"/>
      <c r="B457" s="11"/>
      <c r="C457" s="3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 x14ac:dyDescent="0.15">
      <c r="A458" s="3"/>
      <c r="B458" s="11"/>
      <c r="C458" s="3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 x14ac:dyDescent="0.15">
      <c r="A459" s="3"/>
      <c r="B459" s="11"/>
      <c r="C459" s="3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 x14ac:dyDescent="0.15">
      <c r="A460" s="3"/>
      <c r="B460" s="11"/>
      <c r="C460" s="3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 x14ac:dyDescent="0.15">
      <c r="A461" s="3"/>
      <c r="B461" s="11"/>
      <c r="C461" s="3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 x14ac:dyDescent="0.15">
      <c r="A462" s="3"/>
      <c r="B462" s="11"/>
      <c r="C462" s="3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 x14ac:dyDescent="0.15">
      <c r="A463" s="3"/>
      <c r="B463" s="11"/>
      <c r="C463" s="3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 x14ac:dyDescent="0.15">
      <c r="A464" s="3"/>
      <c r="B464" s="11"/>
      <c r="C464" s="3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 x14ac:dyDescent="0.15">
      <c r="A465" s="3"/>
      <c r="B465" s="11"/>
      <c r="C465" s="3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 x14ac:dyDescent="0.15">
      <c r="A466" s="3"/>
      <c r="B466" s="11"/>
      <c r="C466" s="3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 x14ac:dyDescent="0.15">
      <c r="A467" s="3"/>
      <c r="B467" s="11"/>
      <c r="C467" s="3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 x14ac:dyDescent="0.15">
      <c r="A468" s="3"/>
      <c r="B468" s="11"/>
      <c r="C468" s="3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 x14ac:dyDescent="0.15">
      <c r="A469" s="3"/>
      <c r="B469" s="11"/>
      <c r="C469" s="3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 x14ac:dyDescent="0.15">
      <c r="A470" s="3"/>
      <c r="B470" s="11"/>
      <c r="C470" s="3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 x14ac:dyDescent="0.15">
      <c r="A471" s="3"/>
      <c r="B471" s="11"/>
      <c r="C471" s="3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 x14ac:dyDescent="0.15">
      <c r="A472" s="3"/>
      <c r="B472" s="11"/>
      <c r="C472" s="3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 x14ac:dyDescent="0.15">
      <c r="A473" s="3"/>
      <c r="B473" s="11"/>
      <c r="C473" s="3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 x14ac:dyDescent="0.15">
      <c r="A474" s="3"/>
      <c r="B474" s="11"/>
      <c r="C474" s="3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 x14ac:dyDescent="0.15">
      <c r="A475" s="3"/>
      <c r="B475" s="11"/>
      <c r="C475" s="3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 x14ac:dyDescent="0.15">
      <c r="A476" s="3"/>
      <c r="B476" s="11"/>
      <c r="C476" s="3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 x14ac:dyDescent="0.15">
      <c r="A477" s="3"/>
      <c r="B477" s="11"/>
      <c r="C477" s="3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 x14ac:dyDescent="0.15">
      <c r="A478" s="3"/>
      <c r="B478" s="11"/>
      <c r="C478" s="3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 x14ac:dyDescent="0.15">
      <c r="A479" s="3"/>
      <c r="B479" s="11"/>
      <c r="C479" s="3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 x14ac:dyDescent="0.15">
      <c r="A480" s="3"/>
      <c r="B480" s="11"/>
      <c r="C480" s="3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 x14ac:dyDescent="0.15">
      <c r="A481" s="3"/>
      <c r="B481" s="11"/>
      <c r="C481" s="3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 x14ac:dyDescent="0.15">
      <c r="A482" s="3"/>
      <c r="B482" s="11"/>
      <c r="C482" s="3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 x14ac:dyDescent="0.15">
      <c r="A483" s="3"/>
      <c r="B483" s="11"/>
      <c r="C483" s="3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 x14ac:dyDescent="0.15">
      <c r="A484" s="3"/>
      <c r="B484" s="11"/>
      <c r="C484" s="3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 x14ac:dyDescent="0.15">
      <c r="A485" s="3"/>
      <c r="B485" s="11"/>
      <c r="C485" s="3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 x14ac:dyDescent="0.15">
      <c r="A486" s="3"/>
      <c r="B486" s="11"/>
      <c r="C486" s="3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 x14ac:dyDescent="0.15">
      <c r="A487" s="3"/>
      <c r="B487" s="11"/>
      <c r="C487" s="3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 x14ac:dyDescent="0.15">
      <c r="A488" s="3"/>
      <c r="B488" s="11"/>
      <c r="C488" s="3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 x14ac:dyDescent="0.15">
      <c r="A489" s="3"/>
      <c r="B489" s="11"/>
      <c r="C489" s="3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 x14ac:dyDescent="0.15">
      <c r="A490" s="3"/>
      <c r="B490" s="11"/>
      <c r="C490" s="3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 x14ac:dyDescent="0.15">
      <c r="A491" s="3"/>
      <c r="B491" s="11"/>
      <c r="C491" s="3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 x14ac:dyDescent="0.15">
      <c r="A492" s="3"/>
      <c r="B492" s="11"/>
      <c r="C492" s="3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 x14ac:dyDescent="0.15">
      <c r="A493" s="3"/>
      <c r="B493" s="11"/>
      <c r="C493" s="3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 x14ac:dyDescent="0.15">
      <c r="A494" s="3"/>
      <c r="B494" s="11"/>
      <c r="C494" s="3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 x14ac:dyDescent="0.15">
      <c r="A495" s="3"/>
      <c r="B495" s="11"/>
      <c r="C495" s="3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 x14ac:dyDescent="0.15">
      <c r="A496" s="3"/>
      <c r="B496" s="11"/>
      <c r="C496" s="3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 x14ac:dyDescent="0.15">
      <c r="A497" s="3"/>
      <c r="B497" s="11"/>
      <c r="C497" s="3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 x14ac:dyDescent="0.15">
      <c r="A498" s="3"/>
      <c r="B498" s="11"/>
      <c r="C498" s="3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 x14ac:dyDescent="0.15">
      <c r="A499" s="3"/>
      <c r="B499" s="11"/>
      <c r="C499" s="3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 x14ac:dyDescent="0.15">
      <c r="A500" s="3"/>
      <c r="B500" s="11"/>
      <c r="C500" s="3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 x14ac:dyDescent="0.15">
      <c r="A501" s="3"/>
      <c r="B501" s="11"/>
      <c r="C501" s="3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 x14ac:dyDescent="0.15">
      <c r="A502" s="3"/>
      <c r="B502" s="11"/>
      <c r="C502" s="3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 x14ac:dyDescent="0.15">
      <c r="A503" s="3"/>
      <c r="B503" s="11"/>
      <c r="C503" s="3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 x14ac:dyDescent="0.15">
      <c r="A504" s="3"/>
      <c r="B504" s="11"/>
      <c r="C504" s="3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 x14ac:dyDescent="0.15">
      <c r="A505" s="3"/>
      <c r="B505" s="11"/>
      <c r="C505" s="3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 x14ac:dyDescent="0.15">
      <c r="A506" s="3"/>
      <c r="B506" s="11"/>
      <c r="C506" s="3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 x14ac:dyDescent="0.15">
      <c r="A507" s="3"/>
      <c r="B507" s="11"/>
      <c r="C507" s="3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 x14ac:dyDescent="0.15">
      <c r="A508" s="3"/>
      <c r="B508" s="11"/>
      <c r="C508" s="3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 x14ac:dyDescent="0.15">
      <c r="A509" s="3"/>
      <c r="B509" s="11"/>
      <c r="C509" s="3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 x14ac:dyDescent="0.15">
      <c r="A510" s="3"/>
      <c r="B510" s="11"/>
      <c r="C510" s="3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 x14ac:dyDescent="0.15">
      <c r="A511" s="3"/>
      <c r="B511" s="11"/>
      <c r="C511" s="3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 x14ac:dyDescent="0.15">
      <c r="A512" s="3"/>
      <c r="B512" s="11"/>
      <c r="C512" s="3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 x14ac:dyDescent="0.15">
      <c r="A513" s="3"/>
      <c r="B513" s="11"/>
      <c r="C513" s="3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 x14ac:dyDescent="0.15">
      <c r="A514" s="3"/>
      <c r="B514" s="11"/>
      <c r="C514" s="3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 x14ac:dyDescent="0.15">
      <c r="A515" s="3"/>
      <c r="B515" s="11"/>
      <c r="C515" s="3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 x14ac:dyDescent="0.15">
      <c r="A516" s="3"/>
      <c r="B516" s="11"/>
      <c r="C516" s="3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 x14ac:dyDescent="0.15">
      <c r="A517" s="3"/>
      <c r="B517" s="11"/>
      <c r="C517" s="3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 x14ac:dyDescent="0.15">
      <c r="A518" s="3"/>
      <c r="B518" s="11"/>
      <c r="C518" s="3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 x14ac:dyDescent="0.15">
      <c r="A519" s="3"/>
      <c r="B519" s="11"/>
      <c r="C519" s="3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 x14ac:dyDescent="0.15">
      <c r="A520" s="3"/>
      <c r="B520" s="11"/>
      <c r="C520" s="3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 x14ac:dyDescent="0.15">
      <c r="A521" s="3"/>
      <c r="B521" s="11"/>
      <c r="C521" s="3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 x14ac:dyDescent="0.15">
      <c r="A522" s="3"/>
      <c r="B522" s="11"/>
      <c r="C522" s="3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 x14ac:dyDescent="0.15">
      <c r="A523" s="3"/>
      <c r="B523" s="11"/>
      <c r="C523" s="3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 x14ac:dyDescent="0.15">
      <c r="A524" s="3"/>
      <c r="B524" s="11"/>
      <c r="C524" s="3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 x14ac:dyDescent="0.15">
      <c r="A525" s="3"/>
      <c r="B525" s="11"/>
      <c r="C525" s="3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 x14ac:dyDescent="0.15">
      <c r="A526" s="3"/>
      <c r="B526" s="11"/>
      <c r="C526" s="3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 x14ac:dyDescent="0.15">
      <c r="A527" s="3"/>
      <c r="B527" s="11"/>
      <c r="C527" s="3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 x14ac:dyDescent="0.15">
      <c r="A528" s="3"/>
      <c r="B528" s="11"/>
      <c r="C528" s="3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 x14ac:dyDescent="0.15">
      <c r="A529" s="3"/>
      <c r="B529" s="11"/>
      <c r="C529" s="3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 x14ac:dyDescent="0.15">
      <c r="A530" s="3"/>
      <c r="B530" s="11"/>
      <c r="C530" s="3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 x14ac:dyDescent="0.15">
      <c r="A531" s="3"/>
      <c r="B531" s="11"/>
      <c r="C531" s="3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 x14ac:dyDescent="0.15">
      <c r="A532" s="3"/>
      <c r="B532" s="11"/>
      <c r="C532" s="3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 x14ac:dyDescent="0.15">
      <c r="A533" s="3"/>
      <c r="B533" s="11"/>
      <c r="C533" s="3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 x14ac:dyDescent="0.15">
      <c r="A534" s="3"/>
      <c r="B534" s="11"/>
      <c r="C534" s="3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 x14ac:dyDescent="0.15">
      <c r="A535" s="3"/>
      <c r="B535" s="11"/>
      <c r="C535" s="3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 x14ac:dyDescent="0.15">
      <c r="A536" s="3"/>
      <c r="B536" s="11"/>
      <c r="C536" s="3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 x14ac:dyDescent="0.15">
      <c r="A537" s="3"/>
      <c r="B537" s="11"/>
      <c r="C537" s="3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 x14ac:dyDescent="0.15">
      <c r="A538" s="3"/>
      <c r="B538" s="11"/>
      <c r="C538" s="3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 x14ac:dyDescent="0.15">
      <c r="A539" s="3"/>
      <c r="B539" s="11"/>
      <c r="C539" s="3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 x14ac:dyDescent="0.15">
      <c r="A540" s="3"/>
      <c r="B540" s="11"/>
      <c r="C540" s="3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 x14ac:dyDescent="0.15">
      <c r="A541" s="3"/>
      <c r="B541" s="11"/>
      <c r="C541" s="3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 x14ac:dyDescent="0.15">
      <c r="A542" s="3"/>
      <c r="B542" s="11"/>
      <c r="C542" s="3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 x14ac:dyDescent="0.15">
      <c r="A543" s="3"/>
      <c r="B543" s="11"/>
      <c r="C543" s="3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 x14ac:dyDescent="0.15">
      <c r="A544" s="3"/>
      <c r="B544" s="11"/>
      <c r="C544" s="3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 x14ac:dyDescent="0.15">
      <c r="A545" s="3"/>
      <c r="B545" s="11"/>
      <c r="C545" s="3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 x14ac:dyDescent="0.15">
      <c r="A546" s="3"/>
      <c r="B546" s="11"/>
      <c r="C546" s="3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 x14ac:dyDescent="0.15">
      <c r="A547" s="3"/>
      <c r="B547" s="11"/>
      <c r="C547" s="3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 x14ac:dyDescent="0.15">
      <c r="A548" s="3"/>
      <c r="B548" s="11"/>
      <c r="C548" s="3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 x14ac:dyDescent="0.15">
      <c r="A549" s="3"/>
      <c r="B549" s="11"/>
      <c r="C549" s="3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 x14ac:dyDescent="0.15">
      <c r="A550" s="3"/>
      <c r="B550" s="11"/>
      <c r="C550" s="3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 x14ac:dyDescent="0.15">
      <c r="A551" s="3"/>
      <c r="B551" s="11"/>
      <c r="C551" s="3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 x14ac:dyDescent="0.15">
      <c r="A552" s="3"/>
      <c r="B552" s="11"/>
      <c r="C552" s="3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 x14ac:dyDescent="0.15">
      <c r="A553" s="3"/>
      <c r="B553" s="11"/>
      <c r="C553" s="3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 x14ac:dyDescent="0.15">
      <c r="A554" s="3"/>
      <c r="B554" s="11"/>
      <c r="C554" s="3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 x14ac:dyDescent="0.15">
      <c r="A555" s="3"/>
      <c r="B555" s="11"/>
      <c r="C555" s="3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 x14ac:dyDescent="0.15">
      <c r="A556" s="3"/>
      <c r="B556" s="11"/>
      <c r="C556" s="3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 x14ac:dyDescent="0.15">
      <c r="A557" s="3"/>
      <c r="B557" s="11"/>
      <c r="C557" s="3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 x14ac:dyDescent="0.15">
      <c r="A558" s="3"/>
      <c r="B558" s="11"/>
      <c r="C558" s="3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 x14ac:dyDescent="0.15">
      <c r="A559" s="3"/>
      <c r="B559" s="11"/>
      <c r="C559" s="3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 x14ac:dyDescent="0.15">
      <c r="A560" s="3"/>
      <c r="B560" s="11"/>
      <c r="C560" s="3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 x14ac:dyDescent="0.15">
      <c r="A561" s="3"/>
      <c r="B561" s="11"/>
      <c r="C561" s="3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 x14ac:dyDescent="0.15">
      <c r="A562" s="3"/>
      <c r="B562" s="11"/>
      <c r="C562" s="3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 x14ac:dyDescent="0.15">
      <c r="A563" s="3"/>
      <c r="B563" s="11"/>
      <c r="C563" s="3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 x14ac:dyDescent="0.15">
      <c r="A564" s="3"/>
      <c r="B564" s="11"/>
      <c r="C564" s="3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 x14ac:dyDescent="0.15">
      <c r="A565" s="3"/>
      <c r="B565" s="11"/>
      <c r="C565" s="3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 x14ac:dyDescent="0.15">
      <c r="A566" s="3"/>
      <c r="B566" s="11"/>
      <c r="C566" s="3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 x14ac:dyDescent="0.15">
      <c r="A567" s="3"/>
      <c r="B567" s="11"/>
      <c r="C567" s="3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 x14ac:dyDescent="0.15">
      <c r="A568" s="3"/>
      <c r="B568" s="11"/>
      <c r="C568" s="3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 x14ac:dyDescent="0.15">
      <c r="A569" s="3"/>
      <c r="B569" s="11"/>
      <c r="C569" s="3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 x14ac:dyDescent="0.15">
      <c r="A570" s="3"/>
      <c r="B570" s="11"/>
      <c r="C570" s="3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 x14ac:dyDescent="0.15">
      <c r="A571" s="3"/>
      <c r="B571" s="11"/>
      <c r="C571" s="3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 x14ac:dyDescent="0.15">
      <c r="A572" s="3"/>
      <c r="B572" s="11"/>
      <c r="C572" s="3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 x14ac:dyDescent="0.15">
      <c r="A573" s="3"/>
      <c r="B573" s="11"/>
      <c r="C573" s="3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 x14ac:dyDescent="0.15">
      <c r="A574" s="3"/>
      <c r="B574" s="11"/>
      <c r="C574" s="3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 x14ac:dyDescent="0.15">
      <c r="A575" s="3"/>
      <c r="B575" s="11"/>
      <c r="C575" s="3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 x14ac:dyDescent="0.15">
      <c r="A576" s="3"/>
      <c r="B576" s="11"/>
      <c r="C576" s="3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 x14ac:dyDescent="0.15">
      <c r="A577" s="3"/>
      <c r="B577" s="11"/>
      <c r="C577" s="3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 x14ac:dyDescent="0.15">
      <c r="A578" s="3"/>
      <c r="B578" s="11"/>
      <c r="C578" s="3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 x14ac:dyDescent="0.15">
      <c r="A579" s="3"/>
      <c r="B579" s="11"/>
      <c r="C579" s="3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 x14ac:dyDescent="0.15">
      <c r="A580" s="3"/>
      <c r="B580" s="11"/>
      <c r="C580" s="3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 x14ac:dyDescent="0.15">
      <c r="A581" s="3"/>
      <c r="B581" s="11"/>
      <c r="C581" s="3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 x14ac:dyDescent="0.15">
      <c r="A582" s="3"/>
      <c r="B582" s="11"/>
      <c r="C582" s="3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 x14ac:dyDescent="0.15">
      <c r="A583" s="3"/>
      <c r="B583" s="11"/>
      <c r="C583" s="3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 x14ac:dyDescent="0.15">
      <c r="A584" s="3"/>
      <c r="B584" s="11"/>
      <c r="C584" s="3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 x14ac:dyDescent="0.15">
      <c r="A585" s="3"/>
      <c r="B585" s="11"/>
      <c r="C585" s="3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 x14ac:dyDescent="0.15">
      <c r="A586" s="3"/>
      <c r="B586" s="11"/>
      <c r="C586" s="3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 x14ac:dyDescent="0.15">
      <c r="A587" s="3"/>
      <c r="B587" s="11"/>
      <c r="C587" s="3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 x14ac:dyDescent="0.15">
      <c r="A588" s="3"/>
      <c r="B588" s="11"/>
      <c r="C588" s="3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 x14ac:dyDescent="0.15">
      <c r="A589" s="3"/>
      <c r="B589" s="11"/>
      <c r="C589" s="3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 x14ac:dyDescent="0.15">
      <c r="A590" s="3"/>
      <c r="B590" s="11"/>
      <c r="C590" s="3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 x14ac:dyDescent="0.15">
      <c r="A591" s="3"/>
      <c r="B591" s="11"/>
      <c r="C591" s="3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 x14ac:dyDescent="0.15">
      <c r="A592" s="3"/>
      <c r="B592" s="11"/>
      <c r="C592" s="3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 x14ac:dyDescent="0.15">
      <c r="A593" s="3"/>
      <c r="B593" s="11"/>
      <c r="C593" s="3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 x14ac:dyDescent="0.15">
      <c r="A594" s="3"/>
      <c r="B594" s="11"/>
      <c r="C594" s="3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 x14ac:dyDescent="0.15">
      <c r="A595" s="3"/>
      <c r="B595" s="11"/>
      <c r="C595" s="3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 x14ac:dyDescent="0.15">
      <c r="A596" s="3"/>
      <c r="B596" s="11"/>
      <c r="C596" s="3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 x14ac:dyDescent="0.15">
      <c r="A597" s="3"/>
      <c r="B597" s="11"/>
      <c r="C597" s="3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 x14ac:dyDescent="0.15">
      <c r="A598" s="3"/>
      <c r="B598" s="11"/>
      <c r="C598" s="3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 x14ac:dyDescent="0.15">
      <c r="A599" s="3"/>
      <c r="B599" s="11"/>
      <c r="C599" s="3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 x14ac:dyDescent="0.15">
      <c r="A600" s="3"/>
      <c r="B600" s="11"/>
      <c r="C600" s="3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 x14ac:dyDescent="0.15">
      <c r="A601" s="3"/>
      <c r="B601" s="11"/>
      <c r="C601" s="3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 x14ac:dyDescent="0.15">
      <c r="A602" s="3"/>
      <c r="B602" s="11"/>
      <c r="C602" s="3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 x14ac:dyDescent="0.15">
      <c r="A603" s="3"/>
      <c r="B603" s="11"/>
      <c r="C603" s="3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 x14ac:dyDescent="0.15">
      <c r="A604" s="3"/>
      <c r="B604" s="11"/>
      <c r="C604" s="3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 x14ac:dyDescent="0.15">
      <c r="A605" s="3"/>
      <c r="B605" s="11"/>
      <c r="C605" s="3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 x14ac:dyDescent="0.15">
      <c r="A606" s="3"/>
      <c r="B606" s="11"/>
      <c r="C606" s="3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 x14ac:dyDescent="0.15">
      <c r="A607" s="3"/>
      <c r="B607" s="11"/>
      <c r="C607" s="3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 x14ac:dyDescent="0.15">
      <c r="A608" s="3"/>
      <c r="B608" s="11"/>
      <c r="C608" s="3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 x14ac:dyDescent="0.15">
      <c r="A609" s="3"/>
      <c r="B609" s="11"/>
      <c r="C609" s="3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 x14ac:dyDescent="0.15">
      <c r="A610" s="3"/>
      <c r="B610" s="11"/>
      <c r="C610" s="3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 x14ac:dyDescent="0.15">
      <c r="A611" s="3"/>
      <c r="B611" s="11"/>
      <c r="C611" s="3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 x14ac:dyDescent="0.15">
      <c r="A612" s="3"/>
      <c r="B612" s="11"/>
      <c r="C612" s="3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 x14ac:dyDescent="0.15">
      <c r="A613" s="3"/>
      <c r="B613" s="11"/>
      <c r="C613" s="3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 x14ac:dyDescent="0.15">
      <c r="A614" s="3"/>
      <c r="B614" s="11"/>
      <c r="C614" s="3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 x14ac:dyDescent="0.15">
      <c r="A615" s="3"/>
      <c r="B615" s="11"/>
      <c r="C615" s="3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 x14ac:dyDescent="0.15">
      <c r="A616" s="3"/>
      <c r="B616" s="11"/>
      <c r="C616" s="3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 x14ac:dyDescent="0.15">
      <c r="A617" s="3"/>
      <c r="B617" s="11"/>
      <c r="C617" s="3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 x14ac:dyDescent="0.15">
      <c r="A618" s="3"/>
      <c r="B618" s="11"/>
      <c r="C618" s="3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 x14ac:dyDescent="0.15">
      <c r="A619" s="3"/>
      <c r="B619" s="11"/>
      <c r="C619" s="3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 x14ac:dyDescent="0.15">
      <c r="A620" s="3"/>
      <c r="B620" s="11"/>
      <c r="C620" s="3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 x14ac:dyDescent="0.15">
      <c r="A621" s="3"/>
      <c r="B621" s="11"/>
      <c r="C621" s="3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 x14ac:dyDescent="0.15">
      <c r="A622" s="3"/>
      <c r="B622" s="11"/>
      <c r="C622" s="3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 x14ac:dyDescent="0.15">
      <c r="A623" s="3"/>
      <c r="B623" s="11"/>
      <c r="C623" s="3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 x14ac:dyDescent="0.15">
      <c r="A624" s="3"/>
      <c r="B624" s="11"/>
      <c r="C624" s="3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 x14ac:dyDescent="0.15">
      <c r="A625" s="3"/>
      <c r="B625" s="11"/>
      <c r="C625" s="3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 x14ac:dyDescent="0.15">
      <c r="A626" s="3"/>
      <c r="B626" s="11"/>
      <c r="C626" s="3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 x14ac:dyDescent="0.15">
      <c r="A627" s="3"/>
      <c r="B627" s="11"/>
      <c r="C627" s="3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 x14ac:dyDescent="0.15">
      <c r="A628" s="3"/>
      <c r="B628" s="11"/>
      <c r="C628" s="3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 x14ac:dyDescent="0.15">
      <c r="A629" s="3"/>
      <c r="B629" s="11"/>
      <c r="C629" s="3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 x14ac:dyDescent="0.15">
      <c r="A630" s="3"/>
      <c r="B630" s="11"/>
      <c r="C630" s="3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 x14ac:dyDescent="0.15">
      <c r="A631" s="3"/>
      <c r="B631" s="11"/>
      <c r="C631" s="3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 x14ac:dyDescent="0.15">
      <c r="A632" s="3"/>
      <c r="B632" s="11"/>
      <c r="C632" s="3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 x14ac:dyDescent="0.15">
      <c r="A633" s="3"/>
      <c r="B633" s="11"/>
      <c r="C633" s="3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 x14ac:dyDescent="0.15">
      <c r="A634" s="3"/>
      <c r="B634" s="11"/>
      <c r="C634" s="3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 x14ac:dyDescent="0.15">
      <c r="A635" s="3"/>
      <c r="B635" s="11"/>
      <c r="C635" s="3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 x14ac:dyDescent="0.15">
      <c r="A636" s="3"/>
      <c r="B636" s="11"/>
      <c r="C636" s="3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 x14ac:dyDescent="0.15">
      <c r="A637" s="3"/>
      <c r="B637" s="11"/>
      <c r="C637" s="3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 x14ac:dyDescent="0.15">
      <c r="A638" s="3"/>
      <c r="B638" s="11"/>
      <c r="C638" s="3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 x14ac:dyDescent="0.15">
      <c r="A639" s="3"/>
      <c r="B639" s="11"/>
      <c r="C639" s="3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 x14ac:dyDescent="0.15">
      <c r="A640" s="3"/>
      <c r="B640" s="11"/>
      <c r="C640" s="3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 x14ac:dyDescent="0.15">
      <c r="A641" s="3"/>
      <c r="B641" s="11"/>
      <c r="C641" s="3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 x14ac:dyDescent="0.15">
      <c r="A642" s="3"/>
      <c r="B642" s="11"/>
      <c r="C642" s="3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 x14ac:dyDescent="0.15">
      <c r="A643" s="3"/>
      <c r="B643" s="11"/>
      <c r="C643" s="3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 x14ac:dyDescent="0.15">
      <c r="A644" s="3"/>
      <c r="B644" s="11"/>
      <c r="C644" s="3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 x14ac:dyDescent="0.15">
      <c r="A645" s="3"/>
      <c r="B645" s="11"/>
      <c r="C645" s="3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 x14ac:dyDescent="0.15">
      <c r="A646" s="3"/>
      <c r="B646" s="11"/>
      <c r="C646" s="3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 x14ac:dyDescent="0.15">
      <c r="A647" s="3"/>
      <c r="B647" s="11"/>
      <c r="C647" s="3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 x14ac:dyDescent="0.15">
      <c r="A648" s="3"/>
      <c r="B648" s="11"/>
      <c r="C648" s="3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 x14ac:dyDescent="0.15">
      <c r="A649" s="3"/>
      <c r="B649" s="11"/>
      <c r="C649" s="3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 x14ac:dyDescent="0.15">
      <c r="A650" s="3"/>
      <c r="B650" s="11"/>
      <c r="C650" s="3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 x14ac:dyDescent="0.15">
      <c r="A651" s="3"/>
      <c r="B651" s="11"/>
      <c r="C651" s="3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 x14ac:dyDescent="0.15">
      <c r="A652" s="3"/>
      <c r="B652" s="11"/>
      <c r="C652" s="3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 x14ac:dyDescent="0.15">
      <c r="A653" s="3"/>
      <c r="B653" s="11"/>
      <c r="C653" s="3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 x14ac:dyDescent="0.15">
      <c r="A654" s="3"/>
      <c r="B654" s="11"/>
      <c r="C654" s="3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 x14ac:dyDescent="0.15">
      <c r="A655" s="3"/>
      <c r="B655" s="11"/>
      <c r="C655" s="3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 x14ac:dyDescent="0.15">
      <c r="A656" s="3"/>
      <c r="B656" s="11"/>
      <c r="C656" s="3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 x14ac:dyDescent="0.15">
      <c r="A657" s="3"/>
      <c r="B657" s="11"/>
      <c r="C657" s="3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 x14ac:dyDescent="0.15">
      <c r="A658" s="3"/>
      <c r="B658" s="11"/>
      <c r="C658" s="3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 x14ac:dyDescent="0.15">
      <c r="A659" s="3"/>
      <c r="B659" s="11"/>
      <c r="C659" s="3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 x14ac:dyDescent="0.15">
      <c r="A660" s="3"/>
      <c r="B660" s="11"/>
      <c r="C660" s="3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 x14ac:dyDescent="0.15">
      <c r="A661" s="3"/>
      <c r="B661" s="11"/>
      <c r="C661" s="3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 x14ac:dyDescent="0.15">
      <c r="A662" s="3"/>
      <c r="B662" s="11"/>
      <c r="C662" s="3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 x14ac:dyDescent="0.15">
      <c r="A663" s="3"/>
      <c r="B663" s="11"/>
      <c r="C663" s="3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 x14ac:dyDescent="0.15">
      <c r="A664" s="3"/>
      <c r="B664" s="11"/>
      <c r="C664" s="3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 x14ac:dyDescent="0.15">
      <c r="A665" s="3"/>
      <c r="B665" s="11"/>
      <c r="C665" s="3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 x14ac:dyDescent="0.15">
      <c r="A666" s="3"/>
      <c r="B666" s="11"/>
      <c r="C666" s="3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 x14ac:dyDescent="0.15">
      <c r="A667" s="3"/>
      <c r="B667" s="11"/>
      <c r="C667" s="3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 x14ac:dyDescent="0.15">
      <c r="A668" s="3"/>
      <c r="B668" s="11"/>
      <c r="C668" s="3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 x14ac:dyDescent="0.15">
      <c r="A669" s="3"/>
      <c r="B669" s="11"/>
      <c r="C669" s="3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 x14ac:dyDescent="0.15">
      <c r="A670" s="3"/>
      <c r="B670" s="11"/>
      <c r="C670" s="3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 x14ac:dyDescent="0.15">
      <c r="A671" s="3"/>
      <c r="B671" s="11"/>
      <c r="C671" s="3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 x14ac:dyDescent="0.15">
      <c r="A672" s="3"/>
      <c r="B672" s="11"/>
      <c r="C672" s="3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 x14ac:dyDescent="0.15">
      <c r="A673" s="3"/>
      <c r="B673" s="11"/>
      <c r="C673" s="3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 x14ac:dyDescent="0.15">
      <c r="A674" s="3"/>
      <c r="B674" s="11"/>
      <c r="C674" s="3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 x14ac:dyDescent="0.15">
      <c r="A675" s="3"/>
      <c r="B675" s="11"/>
      <c r="C675" s="3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 x14ac:dyDescent="0.15">
      <c r="A676" s="3"/>
      <c r="B676" s="11"/>
      <c r="C676" s="3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 x14ac:dyDescent="0.15">
      <c r="A677" s="3"/>
      <c r="B677" s="11"/>
      <c r="C677" s="3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 x14ac:dyDescent="0.15">
      <c r="A678" s="3"/>
      <c r="B678" s="11"/>
      <c r="C678" s="3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 x14ac:dyDescent="0.15">
      <c r="A679" s="3"/>
      <c r="B679" s="11"/>
      <c r="C679" s="3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 x14ac:dyDescent="0.15">
      <c r="A680" s="3"/>
      <c r="B680" s="11"/>
      <c r="C680" s="3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 x14ac:dyDescent="0.15">
      <c r="A681" s="3"/>
      <c r="B681" s="11"/>
      <c r="C681" s="3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 x14ac:dyDescent="0.15">
      <c r="A682" s="3"/>
      <c r="B682" s="11"/>
      <c r="C682" s="3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 x14ac:dyDescent="0.15">
      <c r="A683" s="3"/>
      <c r="B683" s="11"/>
      <c r="C683" s="3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 x14ac:dyDescent="0.15">
      <c r="A684" s="3"/>
      <c r="B684" s="11"/>
      <c r="C684" s="3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 x14ac:dyDescent="0.15">
      <c r="A685" s="3"/>
      <c r="B685" s="11"/>
      <c r="C685" s="3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 x14ac:dyDescent="0.15">
      <c r="A686" s="3"/>
      <c r="B686" s="11"/>
      <c r="C686" s="3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 x14ac:dyDescent="0.15">
      <c r="A687" s="3"/>
      <c r="B687" s="11"/>
      <c r="C687" s="3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 x14ac:dyDescent="0.15">
      <c r="A688" s="3"/>
      <c r="B688" s="11"/>
      <c r="C688" s="3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 x14ac:dyDescent="0.15">
      <c r="A689" s="3"/>
      <c r="B689" s="11"/>
      <c r="C689" s="3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 x14ac:dyDescent="0.15">
      <c r="A690" s="3"/>
      <c r="B690" s="11"/>
      <c r="C690" s="3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 x14ac:dyDescent="0.15">
      <c r="A691" s="3"/>
      <c r="B691" s="11"/>
      <c r="C691" s="3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 x14ac:dyDescent="0.15">
      <c r="A692" s="3"/>
      <c r="B692" s="11"/>
      <c r="C692" s="3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 x14ac:dyDescent="0.15">
      <c r="A693" s="3"/>
      <c r="B693" s="11"/>
      <c r="C693" s="3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 x14ac:dyDescent="0.15">
      <c r="A694" s="3"/>
      <c r="B694" s="11"/>
      <c r="C694" s="3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 x14ac:dyDescent="0.15">
      <c r="A695" s="3"/>
      <c r="B695" s="11"/>
      <c r="C695" s="3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 x14ac:dyDescent="0.15">
      <c r="A696" s="3"/>
      <c r="B696" s="11"/>
      <c r="C696" s="3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 x14ac:dyDescent="0.15">
      <c r="A697" s="3"/>
      <c r="B697" s="11"/>
      <c r="C697" s="3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 x14ac:dyDescent="0.15">
      <c r="A698" s="3"/>
      <c r="B698" s="11"/>
      <c r="C698" s="3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 x14ac:dyDescent="0.15">
      <c r="A699" s="3"/>
      <c r="B699" s="11"/>
      <c r="C699" s="3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 x14ac:dyDescent="0.15">
      <c r="A700" s="3"/>
      <c r="B700" s="11"/>
      <c r="C700" s="3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 x14ac:dyDescent="0.15">
      <c r="A701" s="3"/>
      <c r="B701" s="11"/>
      <c r="C701" s="3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 x14ac:dyDescent="0.15">
      <c r="A702" s="3"/>
      <c r="B702" s="11"/>
      <c r="C702" s="3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 x14ac:dyDescent="0.15">
      <c r="A703" s="3"/>
      <c r="B703" s="11"/>
      <c r="C703" s="3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 x14ac:dyDescent="0.15">
      <c r="A704" s="3"/>
      <c r="B704" s="11"/>
      <c r="C704" s="3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 x14ac:dyDescent="0.15">
      <c r="A705" s="3"/>
      <c r="B705" s="11"/>
      <c r="C705" s="3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 x14ac:dyDescent="0.15">
      <c r="A706" s="3"/>
      <c r="B706" s="11"/>
      <c r="C706" s="3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 x14ac:dyDescent="0.15">
      <c r="A707" s="3"/>
      <c r="B707" s="11"/>
      <c r="C707" s="3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 x14ac:dyDescent="0.15">
      <c r="A708" s="3"/>
      <c r="B708" s="11"/>
      <c r="C708" s="3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 x14ac:dyDescent="0.15">
      <c r="A709" s="3"/>
      <c r="B709" s="11"/>
      <c r="C709" s="3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 x14ac:dyDescent="0.15">
      <c r="A710" s="3"/>
      <c r="B710" s="11"/>
      <c r="C710" s="3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 x14ac:dyDescent="0.15">
      <c r="A711" s="3"/>
      <c r="B711" s="11"/>
      <c r="C711" s="3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 x14ac:dyDescent="0.15">
      <c r="A712" s="3"/>
      <c r="B712" s="11"/>
      <c r="C712" s="3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 x14ac:dyDescent="0.15">
      <c r="A713" s="3"/>
      <c r="B713" s="11"/>
      <c r="C713" s="3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 x14ac:dyDescent="0.15">
      <c r="A714" s="3"/>
      <c r="B714" s="11"/>
      <c r="C714" s="3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 x14ac:dyDescent="0.15">
      <c r="A715" s="3"/>
      <c r="B715" s="11"/>
      <c r="C715" s="3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 x14ac:dyDescent="0.15">
      <c r="A716" s="3"/>
      <c r="B716" s="11"/>
      <c r="C716" s="3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 x14ac:dyDescent="0.15">
      <c r="A717" s="3"/>
      <c r="B717" s="11"/>
      <c r="C717" s="3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 x14ac:dyDescent="0.15">
      <c r="A718" s="3"/>
      <c r="B718" s="11"/>
      <c r="C718" s="3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 x14ac:dyDescent="0.15">
      <c r="A719" s="3"/>
      <c r="B719" s="11"/>
      <c r="C719" s="3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 x14ac:dyDescent="0.15">
      <c r="A720" s="3"/>
      <c r="B720" s="11"/>
      <c r="C720" s="3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 x14ac:dyDescent="0.15">
      <c r="A721" s="3"/>
      <c r="B721" s="11"/>
      <c r="C721" s="3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 x14ac:dyDescent="0.15">
      <c r="A722" s="3"/>
      <c r="B722" s="11"/>
      <c r="C722" s="3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 x14ac:dyDescent="0.15">
      <c r="A723" s="3"/>
      <c r="B723" s="11"/>
      <c r="C723" s="3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 x14ac:dyDescent="0.15">
      <c r="A724" s="3"/>
      <c r="B724" s="11"/>
      <c r="C724" s="3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 x14ac:dyDescent="0.15">
      <c r="A725" s="3"/>
      <c r="B725" s="11"/>
      <c r="C725" s="3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 x14ac:dyDescent="0.15">
      <c r="A726" s="3"/>
      <c r="B726" s="11"/>
      <c r="C726" s="3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 x14ac:dyDescent="0.15">
      <c r="A727" s="3"/>
      <c r="B727" s="11"/>
      <c r="C727" s="3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 x14ac:dyDescent="0.15">
      <c r="A728" s="3"/>
      <c r="B728" s="11"/>
      <c r="C728" s="3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 x14ac:dyDescent="0.15">
      <c r="A729" s="3"/>
      <c r="B729" s="11"/>
      <c r="C729" s="3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 x14ac:dyDescent="0.15">
      <c r="A730" s="3"/>
      <c r="B730" s="11"/>
      <c r="C730" s="3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 x14ac:dyDescent="0.15">
      <c r="A731" s="3"/>
      <c r="B731" s="11"/>
      <c r="C731" s="3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 x14ac:dyDescent="0.15">
      <c r="A732" s="3"/>
      <c r="B732" s="11"/>
      <c r="C732" s="3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 x14ac:dyDescent="0.15">
      <c r="A733" s="3"/>
      <c r="B733" s="11"/>
      <c r="C733" s="3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 x14ac:dyDescent="0.15">
      <c r="A734" s="3"/>
      <c r="B734" s="11"/>
      <c r="C734" s="3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 x14ac:dyDescent="0.15">
      <c r="A735" s="3"/>
      <c r="B735" s="11"/>
      <c r="C735" s="3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 x14ac:dyDescent="0.15">
      <c r="A736" s="3"/>
      <c r="B736" s="11"/>
      <c r="C736" s="3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 x14ac:dyDescent="0.15">
      <c r="A737" s="3"/>
      <c r="B737" s="11"/>
      <c r="C737" s="3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 x14ac:dyDescent="0.15">
      <c r="A738" s="3"/>
      <c r="B738" s="11"/>
      <c r="C738" s="3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 x14ac:dyDescent="0.15">
      <c r="A739" s="3"/>
      <c r="B739" s="11"/>
      <c r="C739" s="3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 x14ac:dyDescent="0.15">
      <c r="A740" s="3"/>
      <c r="B740" s="11"/>
      <c r="C740" s="3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 x14ac:dyDescent="0.15">
      <c r="A741" s="3"/>
      <c r="B741" s="11"/>
      <c r="C741" s="3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 x14ac:dyDescent="0.15">
      <c r="A742" s="3"/>
      <c r="B742" s="11"/>
      <c r="C742" s="3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 x14ac:dyDescent="0.15">
      <c r="A743" s="3"/>
      <c r="B743" s="11"/>
      <c r="C743" s="3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 x14ac:dyDescent="0.15">
      <c r="A744" s="3"/>
      <c r="B744" s="11"/>
      <c r="C744" s="3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 x14ac:dyDescent="0.15">
      <c r="A745" s="3"/>
      <c r="B745" s="11"/>
      <c r="C745" s="3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 x14ac:dyDescent="0.15">
      <c r="A746" s="3"/>
      <c r="B746" s="11"/>
      <c r="C746" s="3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 x14ac:dyDescent="0.15">
      <c r="A747" s="3"/>
      <c r="B747" s="11"/>
      <c r="C747" s="3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 x14ac:dyDescent="0.15">
      <c r="A748" s="3"/>
      <c r="B748" s="11"/>
      <c r="C748" s="3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 x14ac:dyDescent="0.15">
      <c r="A749" s="3"/>
      <c r="B749" s="11"/>
      <c r="C749" s="3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 x14ac:dyDescent="0.15">
      <c r="A750" s="3"/>
      <c r="B750" s="11"/>
      <c r="C750" s="3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 x14ac:dyDescent="0.15">
      <c r="A751" s="3"/>
      <c r="B751" s="11"/>
      <c r="C751" s="3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 x14ac:dyDescent="0.15">
      <c r="A752" s="3"/>
      <c r="B752" s="11"/>
      <c r="C752" s="3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 x14ac:dyDescent="0.15">
      <c r="A753" s="3"/>
      <c r="B753" s="11"/>
      <c r="C753" s="3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 x14ac:dyDescent="0.15">
      <c r="A754" s="3"/>
      <c r="B754" s="11"/>
      <c r="C754" s="3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 x14ac:dyDescent="0.15">
      <c r="A755" s="3"/>
      <c r="B755" s="11"/>
      <c r="C755" s="3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 x14ac:dyDescent="0.15">
      <c r="A756" s="3"/>
      <c r="B756" s="11"/>
      <c r="C756" s="3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 x14ac:dyDescent="0.15">
      <c r="A757" s="3"/>
      <c r="B757" s="11"/>
      <c r="C757" s="3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 x14ac:dyDescent="0.15">
      <c r="A758" s="3"/>
      <c r="B758" s="11"/>
      <c r="C758" s="3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 x14ac:dyDescent="0.15">
      <c r="A759" s="3"/>
      <c r="B759" s="11"/>
      <c r="C759" s="3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 x14ac:dyDescent="0.15">
      <c r="A760" s="3"/>
      <c r="B760" s="11"/>
      <c r="C760" s="3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 x14ac:dyDescent="0.15">
      <c r="A761" s="3"/>
      <c r="B761" s="11"/>
      <c r="C761" s="3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 x14ac:dyDescent="0.15">
      <c r="A762" s="3"/>
      <c r="B762" s="11"/>
      <c r="C762" s="3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 x14ac:dyDescent="0.15">
      <c r="A763" s="3"/>
      <c r="B763" s="11"/>
      <c r="C763" s="3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 x14ac:dyDescent="0.15">
      <c r="A764" s="3"/>
      <c r="B764" s="11"/>
      <c r="C764" s="3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 x14ac:dyDescent="0.15">
      <c r="A765" s="3"/>
      <c r="B765" s="11"/>
      <c r="C765" s="3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 x14ac:dyDescent="0.15">
      <c r="A766" s="3"/>
      <c r="B766" s="11"/>
      <c r="C766" s="3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 x14ac:dyDescent="0.15">
      <c r="A767" s="3"/>
      <c r="B767" s="11"/>
      <c r="C767" s="3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 x14ac:dyDescent="0.15">
      <c r="A768" s="3"/>
      <c r="B768" s="11"/>
      <c r="C768" s="3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 x14ac:dyDescent="0.15">
      <c r="A769" s="3"/>
      <c r="B769" s="11"/>
      <c r="C769" s="3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 x14ac:dyDescent="0.15">
      <c r="A770" s="3"/>
      <c r="B770" s="11"/>
      <c r="C770" s="3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 x14ac:dyDescent="0.15">
      <c r="A771" s="3"/>
      <c r="B771" s="11"/>
      <c r="C771" s="3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 x14ac:dyDescent="0.15">
      <c r="A772" s="3"/>
      <c r="B772" s="11"/>
      <c r="C772" s="3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 x14ac:dyDescent="0.15">
      <c r="A773" s="3"/>
      <c r="B773" s="11"/>
      <c r="C773" s="3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 x14ac:dyDescent="0.15">
      <c r="A774" s="3"/>
      <c r="B774" s="11"/>
      <c r="C774" s="3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 x14ac:dyDescent="0.15">
      <c r="A775" s="3"/>
      <c r="B775" s="11"/>
      <c r="C775" s="3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 x14ac:dyDescent="0.15">
      <c r="A776" s="3"/>
      <c r="B776" s="11"/>
      <c r="C776" s="3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 x14ac:dyDescent="0.15">
      <c r="A777" s="3"/>
      <c r="B777" s="11"/>
      <c r="C777" s="3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 x14ac:dyDescent="0.15">
      <c r="A778" s="3"/>
      <c r="B778" s="11"/>
      <c r="C778" s="3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 x14ac:dyDescent="0.15">
      <c r="A779" s="3"/>
      <c r="B779" s="11"/>
      <c r="C779" s="3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 x14ac:dyDescent="0.15">
      <c r="A780" s="3"/>
      <c r="B780" s="11"/>
      <c r="C780" s="3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 x14ac:dyDescent="0.15">
      <c r="A781" s="3"/>
      <c r="B781" s="11"/>
      <c r="C781" s="3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 x14ac:dyDescent="0.15">
      <c r="A782" s="3"/>
      <c r="B782" s="11"/>
      <c r="C782" s="3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 x14ac:dyDescent="0.15">
      <c r="A783" s="3"/>
      <c r="B783" s="11"/>
      <c r="C783" s="3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 x14ac:dyDescent="0.15">
      <c r="A784" s="3"/>
      <c r="B784" s="11"/>
      <c r="C784" s="3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 x14ac:dyDescent="0.15">
      <c r="A785" s="3"/>
      <c r="B785" s="11"/>
      <c r="C785" s="3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 x14ac:dyDescent="0.15">
      <c r="A786" s="3"/>
      <c r="B786" s="11"/>
      <c r="C786" s="3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 x14ac:dyDescent="0.15">
      <c r="A787" s="3"/>
      <c r="B787" s="11"/>
      <c r="C787" s="3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 x14ac:dyDescent="0.15">
      <c r="A788" s="3"/>
      <c r="B788" s="11"/>
      <c r="C788" s="3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 x14ac:dyDescent="0.15">
      <c r="A789" s="3"/>
      <c r="B789" s="11"/>
      <c r="C789" s="3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 x14ac:dyDescent="0.15">
      <c r="A790" s="3"/>
      <c r="B790" s="11"/>
      <c r="C790" s="3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 x14ac:dyDescent="0.15">
      <c r="A791" s="3"/>
      <c r="B791" s="11"/>
      <c r="C791" s="3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 x14ac:dyDescent="0.15">
      <c r="A792" s="3"/>
      <c r="B792" s="11"/>
      <c r="C792" s="3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 x14ac:dyDescent="0.15">
      <c r="A793" s="3"/>
      <c r="B793" s="11"/>
      <c r="C793" s="3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 x14ac:dyDescent="0.15">
      <c r="A794" s="3"/>
      <c r="B794" s="11"/>
      <c r="C794" s="3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 x14ac:dyDescent="0.15">
      <c r="A795" s="3"/>
      <c r="B795" s="11"/>
      <c r="C795" s="3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 x14ac:dyDescent="0.15">
      <c r="A796" s="3"/>
      <c r="B796" s="11"/>
      <c r="C796" s="3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 x14ac:dyDescent="0.15">
      <c r="A797" s="3"/>
      <c r="B797" s="11"/>
      <c r="C797" s="3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 x14ac:dyDescent="0.15">
      <c r="A798" s="3"/>
      <c r="B798" s="11"/>
      <c r="C798" s="3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 x14ac:dyDescent="0.15">
      <c r="A799" s="3"/>
      <c r="B799" s="11"/>
      <c r="C799" s="3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 x14ac:dyDescent="0.15">
      <c r="A800" s="3"/>
      <c r="B800" s="11"/>
      <c r="C800" s="3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 x14ac:dyDescent="0.15">
      <c r="A801" s="3"/>
      <c r="B801" s="11"/>
      <c r="C801" s="3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 x14ac:dyDescent="0.15">
      <c r="A802" s="3"/>
      <c r="B802" s="11"/>
      <c r="C802" s="3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 x14ac:dyDescent="0.15">
      <c r="A803" s="3"/>
      <c r="B803" s="11"/>
      <c r="C803" s="3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 x14ac:dyDescent="0.15">
      <c r="A804" s="3"/>
      <c r="B804" s="11"/>
      <c r="C804" s="3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 x14ac:dyDescent="0.15">
      <c r="A805" s="3"/>
      <c r="B805" s="11"/>
      <c r="C805" s="3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 x14ac:dyDescent="0.15">
      <c r="A806" s="3"/>
      <c r="B806" s="11"/>
      <c r="C806" s="3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 x14ac:dyDescent="0.15">
      <c r="A807" s="3"/>
      <c r="B807" s="11"/>
      <c r="C807" s="3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 x14ac:dyDescent="0.15">
      <c r="A808" s="3"/>
      <c r="B808" s="11"/>
      <c r="C808" s="3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 x14ac:dyDescent="0.15">
      <c r="A809" s="3"/>
      <c r="B809" s="11"/>
      <c r="C809" s="3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 x14ac:dyDescent="0.15">
      <c r="A810" s="3"/>
      <c r="B810" s="11"/>
      <c r="C810" s="3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 x14ac:dyDescent="0.15">
      <c r="A811" s="3"/>
      <c r="B811" s="11"/>
      <c r="C811" s="3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 x14ac:dyDescent="0.15">
      <c r="A812" s="3"/>
      <c r="B812" s="11"/>
      <c r="C812" s="3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 x14ac:dyDescent="0.15">
      <c r="A813" s="3"/>
      <c r="B813" s="11"/>
      <c r="C813" s="3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 x14ac:dyDescent="0.15">
      <c r="A814" s="3"/>
      <c r="B814" s="11"/>
      <c r="C814" s="3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 x14ac:dyDescent="0.15">
      <c r="A815" s="3"/>
      <c r="B815" s="11"/>
      <c r="C815" s="3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 x14ac:dyDescent="0.15">
      <c r="A816" s="3"/>
      <c r="B816" s="11"/>
      <c r="C816" s="3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 x14ac:dyDescent="0.15">
      <c r="A817" s="3"/>
      <c r="B817" s="11"/>
      <c r="C817" s="3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 x14ac:dyDescent="0.15">
      <c r="A818" s="3"/>
      <c r="B818" s="11"/>
      <c r="C818" s="3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 x14ac:dyDescent="0.15">
      <c r="A819" s="3"/>
      <c r="B819" s="11"/>
      <c r="C819" s="3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 x14ac:dyDescent="0.15">
      <c r="A820" s="3"/>
      <c r="B820" s="11"/>
      <c r="C820" s="3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 x14ac:dyDescent="0.15">
      <c r="A821" s="3"/>
      <c r="B821" s="11"/>
      <c r="C821" s="3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 x14ac:dyDescent="0.15">
      <c r="A822" s="3"/>
      <c r="B822" s="11"/>
      <c r="C822" s="3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 x14ac:dyDescent="0.15">
      <c r="A823" s="3"/>
      <c r="B823" s="11"/>
      <c r="C823" s="3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 x14ac:dyDescent="0.15">
      <c r="A824" s="3"/>
      <c r="B824" s="11"/>
      <c r="C824" s="3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 x14ac:dyDescent="0.15">
      <c r="A825" s="3"/>
      <c r="B825" s="11"/>
      <c r="C825" s="3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 x14ac:dyDescent="0.15">
      <c r="A826" s="3"/>
      <c r="B826" s="11"/>
      <c r="C826" s="3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 x14ac:dyDescent="0.15">
      <c r="A827" s="3"/>
      <c r="B827" s="11"/>
      <c r="C827" s="3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 x14ac:dyDescent="0.15">
      <c r="A828" s="3"/>
      <c r="B828" s="11"/>
      <c r="C828" s="3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 x14ac:dyDescent="0.15">
      <c r="A829" s="3"/>
      <c r="B829" s="11"/>
      <c r="C829" s="3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 x14ac:dyDescent="0.15">
      <c r="A830" s="3"/>
      <c r="B830" s="11"/>
      <c r="C830" s="3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 x14ac:dyDescent="0.15">
      <c r="A831" s="3"/>
      <c r="B831" s="11"/>
      <c r="C831" s="3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 x14ac:dyDescent="0.15">
      <c r="A832" s="3"/>
      <c r="B832" s="11"/>
      <c r="C832" s="3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 x14ac:dyDescent="0.15">
      <c r="A833" s="3"/>
      <c r="B833" s="11"/>
      <c r="C833" s="3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 x14ac:dyDescent="0.15">
      <c r="A834" s="3"/>
      <c r="B834" s="11"/>
      <c r="C834" s="3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 x14ac:dyDescent="0.15">
      <c r="A835" s="3"/>
      <c r="B835" s="11"/>
      <c r="C835" s="3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 x14ac:dyDescent="0.15">
      <c r="A836" s="3"/>
      <c r="B836" s="11"/>
      <c r="C836" s="3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 x14ac:dyDescent="0.15">
      <c r="A837" s="3"/>
      <c r="B837" s="11"/>
      <c r="C837" s="3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 x14ac:dyDescent="0.15">
      <c r="A838" s="3"/>
      <c r="B838" s="11"/>
      <c r="C838" s="3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 x14ac:dyDescent="0.15">
      <c r="A839" s="3"/>
      <c r="B839" s="11"/>
      <c r="C839" s="3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 x14ac:dyDescent="0.15">
      <c r="A840" s="3"/>
      <c r="B840" s="11"/>
      <c r="C840" s="3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 x14ac:dyDescent="0.15">
      <c r="A841" s="3"/>
      <c r="B841" s="11"/>
      <c r="C841" s="3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 x14ac:dyDescent="0.15">
      <c r="A842" s="3"/>
      <c r="B842" s="11"/>
      <c r="C842" s="3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 x14ac:dyDescent="0.15">
      <c r="A843" s="3"/>
      <c r="B843" s="11"/>
      <c r="C843" s="3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 x14ac:dyDescent="0.15">
      <c r="A844" s="3"/>
      <c r="B844" s="11"/>
      <c r="C844" s="3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 x14ac:dyDescent="0.15">
      <c r="A845" s="3"/>
      <c r="B845" s="11"/>
      <c r="C845" s="3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 x14ac:dyDescent="0.15">
      <c r="A846" s="3"/>
      <c r="B846" s="11"/>
      <c r="C846" s="3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 x14ac:dyDescent="0.15">
      <c r="A847" s="3"/>
      <c r="B847" s="11"/>
      <c r="C847" s="3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 x14ac:dyDescent="0.15">
      <c r="A848" s="3"/>
      <c r="B848" s="11"/>
      <c r="C848" s="3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 x14ac:dyDescent="0.15">
      <c r="A849" s="3"/>
      <c r="B849" s="11"/>
      <c r="C849" s="3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 x14ac:dyDescent="0.15">
      <c r="A850" s="3"/>
      <c r="B850" s="11"/>
      <c r="C850" s="3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 x14ac:dyDescent="0.15">
      <c r="A851" s="3"/>
      <c r="B851" s="11"/>
      <c r="C851" s="3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 x14ac:dyDescent="0.15">
      <c r="A852" s="3"/>
      <c r="B852" s="11"/>
      <c r="C852" s="3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 x14ac:dyDescent="0.15">
      <c r="A853" s="3"/>
      <c r="B853" s="11"/>
      <c r="C853" s="3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 x14ac:dyDescent="0.15">
      <c r="A854" s="3"/>
      <c r="B854" s="11"/>
      <c r="C854" s="3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 x14ac:dyDescent="0.15">
      <c r="A855" s="3"/>
      <c r="B855" s="11"/>
      <c r="C855" s="3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 x14ac:dyDescent="0.15">
      <c r="A856" s="3"/>
      <c r="B856" s="11"/>
      <c r="C856" s="3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 x14ac:dyDescent="0.15">
      <c r="A857" s="3"/>
      <c r="B857" s="11"/>
      <c r="C857" s="3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 x14ac:dyDescent="0.15">
      <c r="A858" s="3"/>
      <c r="B858" s="11"/>
      <c r="C858" s="3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 x14ac:dyDescent="0.15">
      <c r="A859" s="3"/>
      <c r="B859" s="11"/>
      <c r="C859" s="3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 x14ac:dyDescent="0.15">
      <c r="A860" s="3"/>
      <c r="B860" s="11"/>
      <c r="C860" s="3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 x14ac:dyDescent="0.15">
      <c r="A861" s="3"/>
      <c r="B861" s="11"/>
      <c r="C861" s="3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 x14ac:dyDescent="0.15">
      <c r="A862" s="3"/>
      <c r="B862" s="11"/>
      <c r="C862" s="3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 x14ac:dyDescent="0.15">
      <c r="A863" s="3"/>
      <c r="B863" s="11"/>
      <c r="C863" s="3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 x14ac:dyDescent="0.15">
      <c r="A864" s="3"/>
      <c r="B864" s="11"/>
      <c r="C864" s="3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 x14ac:dyDescent="0.15">
      <c r="A865" s="3"/>
      <c r="B865" s="11"/>
      <c r="C865" s="3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 x14ac:dyDescent="0.15">
      <c r="A866" s="3"/>
      <c r="B866" s="11"/>
      <c r="C866" s="3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 x14ac:dyDescent="0.15">
      <c r="A867" s="3"/>
      <c r="B867" s="11"/>
      <c r="C867" s="3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 x14ac:dyDescent="0.15">
      <c r="A868" s="3"/>
      <c r="B868" s="11"/>
      <c r="C868" s="3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 x14ac:dyDescent="0.15">
      <c r="A869" s="3"/>
      <c r="B869" s="11"/>
      <c r="C869" s="3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 x14ac:dyDescent="0.15">
      <c r="A870" s="3"/>
      <c r="B870" s="11"/>
      <c r="C870" s="3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 x14ac:dyDescent="0.15">
      <c r="A871" s="3"/>
      <c r="B871" s="11"/>
      <c r="C871" s="3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 x14ac:dyDescent="0.15">
      <c r="A872" s="3"/>
      <c r="B872" s="11"/>
      <c r="C872" s="3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 x14ac:dyDescent="0.15">
      <c r="A873" s="3"/>
      <c r="B873" s="11"/>
      <c r="C873" s="3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 x14ac:dyDescent="0.15">
      <c r="A874" s="3"/>
      <c r="B874" s="11"/>
      <c r="C874" s="3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 x14ac:dyDescent="0.15">
      <c r="A875" s="3"/>
      <c r="B875" s="11"/>
      <c r="C875" s="3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 x14ac:dyDescent="0.15">
      <c r="A876" s="3"/>
      <c r="B876" s="11"/>
      <c r="C876" s="3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 x14ac:dyDescent="0.15">
      <c r="A877" s="3"/>
      <c r="B877" s="11"/>
      <c r="C877" s="3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 x14ac:dyDescent="0.15">
      <c r="A878" s="3"/>
      <c r="B878" s="11"/>
      <c r="C878" s="3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 x14ac:dyDescent="0.15">
      <c r="A879" s="3"/>
      <c r="B879" s="11"/>
      <c r="C879" s="3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 x14ac:dyDescent="0.15">
      <c r="A880" s="3"/>
      <c r="B880" s="11"/>
      <c r="C880" s="3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 x14ac:dyDescent="0.15">
      <c r="A881" s="3"/>
      <c r="B881" s="11"/>
      <c r="C881" s="3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 x14ac:dyDescent="0.15">
      <c r="A882" s="3"/>
      <c r="B882" s="11"/>
      <c r="C882" s="3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 x14ac:dyDescent="0.15">
      <c r="A883" s="3"/>
      <c r="B883" s="11"/>
      <c r="C883" s="3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 x14ac:dyDescent="0.15">
      <c r="A884" s="3"/>
      <c r="B884" s="11"/>
      <c r="C884" s="3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 x14ac:dyDescent="0.15">
      <c r="A885" s="3"/>
      <c r="B885" s="11"/>
      <c r="C885" s="3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 x14ac:dyDescent="0.15">
      <c r="A886" s="3"/>
      <c r="B886" s="11"/>
      <c r="C886" s="3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 x14ac:dyDescent="0.15">
      <c r="A887" s="3"/>
      <c r="B887" s="11"/>
      <c r="C887" s="3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 x14ac:dyDescent="0.15">
      <c r="A888" s="3"/>
      <c r="B888" s="11"/>
      <c r="C888" s="3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 x14ac:dyDescent="0.15">
      <c r="A889" s="3"/>
      <c r="B889" s="11"/>
      <c r="C889" s="3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 x14ac:dyDescent="0.15">
      <c r="A890" s="3"/>
      <c r="B890" s="11"/>
      <c r="C890" s="3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 x14ac:dyDescent="0.15">
      <c r="A891" s="3"/>
      <c r="B891" s="11"/>
      <c r="C891" s="3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 x14ac:dyDescent="0.15">
      <c r="A892" s="3"/>
      <c r="B892" s="11"/>
      <c r="C892" s="3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 x14ac:dyDescent="0.15">
      <c r="A893" s="3"/>
      <c r="B893" s="11"/>
      <c r="C893" s="3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 x14ac:dyDescent="0.15">
      <c r="A894" s="3"/>
      <c r="B894" s="11"/>
      <c r="C894" s="3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 x14ac:dyDescent="0.15">
      <c r="A895" s="3"/>
      <c r="B895" s="11"/>
      <c r="C895" s="3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 x14ac:dyDescent="0.15">
      <c r="A896" s="3"/>
      <c r="B896" s="11"/>
      <c r="C896" s="3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 x14ac:dyDescent="0.15">
      <c r="A897" s="3"/>
      <c r="B897" s="11"/>
      <c r="C897" s="3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 x14ac:dyDescent="0.15">
      <c r="A898" s="3"/>
      <c r="B898" s="11"/>
      <c r="C898" s="3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 x14ac:dyDescent="0.15">
      <c r="A899" s="3"/>
      <c r="B899" s="11"/>
      <c r="C899" s="3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 x14ac:dyDescent="0.15">
      <c r="A900" s="3"/>
      <c r="B900" s="11"/>
      <c r="C900" s="3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 x14ac:dyDescent="0.15">
      <c r="A901" s="3"/>
      <c r="B901" s="11"/>
      <c r="C901" s="3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 x14ac:dyDescent="0.15">
      <c r="A902" s="3"/>
      <c r="B902" s="11"/>
      <c r="C902" s="3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 x14ac:dyDescent="0.15">
      <c r="A903" s="3"/>
      <c r="B903" s="11"/>
      <c r="C903" s="3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 x14ac:dyDescent="0.15">
      <c r="A904" s="3"/>
      <c r="B904" s="11"/>
      <c r="C904" s="3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 x14ac:dyDescent="0.15">
      <c r="A905" s="3"/>
      <c r="B905" s="11"/>
      <c r="C905" s="3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 x14ac:dyDescent="0.15">
      <c r="A906" s="3"/>
      <c r="B906" s="11"/>
      <c r="C906" s="3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 x14ac:dyDescent="0.15">
      <c r="A907" s="3"/>
      <c r="B907" s="11"/>
      <c r="C907" s="3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 x14ac:dyDescent="0.15">
      <c r="A908" s="3"/>
      <c r="B908" s="11"/>
      <c r="C908" s="3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 x14ac:dyDescent="0.15">
      <c r="A909" s="3"/>
      <c r="B909" s="11"/>
      <c r="C909" s="3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 x14ac:dyDescent="0.15">
      <c r="A910" s="3"/>
      <c r="B910" s="11"/>
      <c r="C910" s="3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 x14ac:dyDescent="0.15">
      <c r="A911" s="3"/>
      <c r="B911" s="11"/>
      <c r="C911" s="3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 x14ac:dyDescent="0.15">
      <c r="A912" s="3"/>
      <c r="B912" s="11"/>
      <c r="C912" s="3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 x14ac:dyDescent="0.15">
      <c r="A913" s="3"/>
      <c r="B913" s="11"/>
      <c r="C913" s="3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 x14ac:dyDescent="0.15">
      <c r="A914" s="3"/>
      <c r="B914" s="11"/>
      <c r="C914" s="3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 x14ac:dyDescent="0.15">
      <c r="A915" s="3"/>
      <c r="B915" s="11"/>
      <c r="C915" s="3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 x14ac:dyDescent="0.15">
      <c r="A916" s="3"/>
      <c r="B916" s="11"/>
      <c r="C916" s="3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 x14ac:dyDescent="0.15">
      <c r="A917" s="3"/>
      <c r="B917" s="11"/>
      <c r="C917" s="3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 x14ac:dyDescent="0.15">
      <c r="A918" s="3"/>
      <c r="B918" s="11"/>
      <c r="C918" s="3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 x14ac:dyDescent="0.15">
      <c r="A919" s="3"/>
      <c r="B919" s="11"/>
      <c r="C919" s="3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 x14ac:dyDescent="0.15">
      <c r="A920" s="3"/>
      <c r="B920" s="11"/>
      <c r="C920" s="3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 x14ac:dyDescent="0.15">
      <c r="A921" s="3"/>
      <c r="B921" s="11"/>
      <c r="C921" s="3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 x14ac:dyDescent="0.15">
      <c r="A922" s="3"/>
      <c r="B922" s="11"/>
      <c r="C922" s="3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 x14ac:dyDescent="0.15">
      <c r="A923" s="3"/>
      <c r="B923" s="11"/>
      <c r="C923" s="3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 x14ac:dyDescent="0.15">
      <c r="A924" s="3"/>
      <c r="B924" s="11"/>
      <c r="C924" s="3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 x14ac:dyDescent="0.15">
      <c r="A925" s="3"/>
      <c r="B925" s="11"/>
      <c r="C925" s="3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 x14ac:dyDescent="0.15">
      <c r="A926" s="3"/>
      <c r="B926" s="11"/>
      <c r="C926" s="3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 x14ac:dyDescent="0.15">
      <c r="A927" s="3"/>
      <c r="B927" s="11"/>
      <c r="C927" s="3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 x14ac:dyDescent="0.15">
      <c r="A928" s="3"/>
      <c r="B928" s="11"/>
      <c r="C928" s="3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customHeight="1" x14ac:dyDescent="0.15">
      <c r="A929" s="3"/>
      <c r="B929" s="11"/>
      <c r="C929" s="3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customHeight="1" x14ac:dyDescent="0.15">
      <c r="A930" s="3"/>
      <c r="B930" s="11"/>
      <c r="C930" s="3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customHeight="1" x14ac:dyDescent="0.15">
      <c r="A931" s="3"/>
      <c r="B931" s="11"/>
      <c r="C931" s="3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customHeight="1" x14ac:dyDescent="0.15">
      <c r="A932" s="3"/>
      <c r="B932" s="11"/>
      <c r="C932" s="3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customHeight="1" x14ac:dyDescent="0.15">
      <c r="A933" s="3"/>
      <c r="B933" s="11"/>
      <c r="C933" s="3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customHeight="1" x14ac:dyDescent="0.15">
      <c r="A934" s="3"/>
      <c r="B934" s="11"/>
      <c r="C934" s="3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customHeight="1" x14ac:dyDescent="0.15">
      <c r="A935" s="3"/>
      <c r="B935" s="11"/>
      <c r="C935" s="3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customHeight="1" x14ac:dyDescent="0.15">
      <c r="A936" s="3"/>
      <c r="B936" s="11"/>
      <c r="C936" s="3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customHeight="1" x14ac:dyDescent="0.15">
      <c r="A937" s="3"/>
      <c r="B937" s="11"/>
      <c r="C937" s="3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customHeight="1" x14ac:dyDescent="0.15">
      <c r="A938" s="3"/>
      <c r="B938" s="11"/>
      <c r="C938" s="3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customHeight="1" x14ac:dyDescent="0.15">
      <c r="A939" s="3"/>
      <c r="B939" s="11"/>
      <c r="C939" s="3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customHeight="1" x14ac:dyDescent="0.15">
      <c r="A940" s="3"/>
      <c r="B940" s="11"/>
      <c r="C940" s="3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customHeight="1" x14ac:dyDescent="0.15">
      <c r="A941" s="3"/>
      <c r="B941" s="11"/>
      <c r="C941" s="3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customHeight="1" x14ac:dyDescent="0.15">
      <c r="A942" s="3"/>
      <c r="B942" s="11"/>
      <c r="C942" s="3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customHeight="1" x14ac:dyDescent="0.15">
      <c r="A943" s="3"/>
      <c r="B943" s="11"/>
      <c r="C943" s="3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customHeight="1" x14ac:dyDescent="0.15">
      <c r="A944" s="3"/>
      <c r="B944" s="11"/>
      <c r="C944" s="3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customHeight="1" x14ac:dyDescent="0.15">
      <c r="A945" s="3"/>
      <c r="B945" s="11"/>
      <c r="C945" s="3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customHeight="1" x14ac:dyDescent="0.15">
      <c r="A946" s="3"/>
      <c r="B946" s="11"/>
      <c r="C946" s="3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customHeight="1" x14ac:dyDescent="0.15">
      <c r="A947" s="3"/>
      <c r="B947" s="11"/>
      <c r="C947" s="3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customHeight="1" x14ac:dyDescent="0.15">
      <c r="A948" s="3"/>
      <c r="B948" s="11"/>
      <c r="C948" s="3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customHeight="1" x14ac:dyDescent="0.15">
      <c r="A949" s="3"/>
      <c r="B949" s="11"/>
      <c r="C949" s="3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customHeight="1" x14ac:dyDescent="0.15">
      <c r="A950" s="3"/>
      <c r="B950" s="11"/>
      <c r="C950" s="3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customHeight="1" x14ac:dyDescent="0.15">
      <c r="A951" s="3"/>
      <c r="B951" s="11"/>
      <c r="C951" s="3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customHeight="1" x14ac:dyDescent="0.15">
      <c r="A952" s="3"/>
      <c r="B952" s="11"/>
      <c r="C952" s="3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customHeight="1" x14ac:dyDescent="0.15">
      <c r="A953" s="3"/>
      <c r="B953" s="11"/>
      <c r="C953" s="3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customHeight="1" x14ac:dyDescent="0.15">
      <c r="A954" s="3"/>
      <c r="B954" s="11"/>
      <c r="C954" s="3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customHeight="1" x14ac:dyDescent="0.15">
      <c r="A955" s="3"/>
      <c r="B955" s="11"/>
      <c r="C955" s="3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 customHeight="1" x14ac:dyDescent="0.15">
      <c r="A956" s="3"/>
      <c r="B956" s="11"/>
      <c r="C956" s="3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 customHeight="1" x14ac:dyDescent="0.15">
      <c r="A957" s="3"/>
      <c r="B957" s="11"/>
      <c r="C957" s="3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 customHeight="1" x14ac:dyDescent="0.15">
      <c r="A958" s="3"/>
      <c r="B958" s="11"/>
      <c r="C958" s="3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 customHeight="1" x14ac:dyDescent="0.15">
      <c r="A959" s="3"/>
      <c r="B959" s="11"/>
      <c r="C959" s="3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 customHeight="1" x14ac:dyDescent="0.15">
      <c r="A960" s="3"/>
      <c r="B960" s="11"/>
      <c r="C960" s="3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 customHeight="1" x14ac:dyDescent="0.15">
      <c r="A961" s="3"/>
      <c r="B961" s="11"/>
      <c r="C961" s="3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 customHeight="1" x14ac:dyDescent="0.15">
      <c r="A962" s="3"/>
      <c r="B962" s="11"/>
      <c r="C962" s="3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 customHeight="1" x14ac:dyDescent="0.15">
      <c r="A963" s="3"/>
      <c r="B963" s="11"/>
      <c r="C963" s="3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 customHeight="1" x14ac:dyDescent="0.15">
      <c r="A964" s="3"/>
      <c r="B964" s="11"/>
      <c r="C964" s="3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 customHeight="1" x14ac:dyDescent="0.15">
      <c r="A965" s="3"/>
      <c r="B965" s="11"/>
      <c r="C965" s="3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 customHeight="1" x14ac:dyDescent="0.15">
      <c r="A966" s="3"/>
      <c r="B966" s="11"/>
      <c r="C966" s="3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 customHeight="1" x14ac:dyDescent="0.15">
      <c r="A967" s="3"/>
      <c r="B967" s="11"/>
      <c r="C967" s="3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 customHeight="1" x14ac:dyDescent="0.15">
      <c r="A968" s="3"/>
      <c r="B968" s="11"/>
      <c r="C968" s="3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 customHeight="1" x14ac:dyDescent="0.15">
      <c r="A969" s="3"/>
      <c r="B969" s="11"/>
      <c r="C969" s="3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 customHeight="1" x14ac:dyDescent="0.15">
      <c r="A970" s="3"/>
      <c r="B970" s="11"/>
      <c r="C970" s="3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 customHeight="1" x14ac:dyDescent="0.15">
      <c r="A971" s="3"/>
      <c r="B971" s="11"/>
      <c r="C971" s="3"/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 customHeight="1" x14ac:dyDescent="0.15">
      <c r="A972" s="3"/>
      <c r="B972" s="11"/>
      <c r="C972" s="3"/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 customHeight="1" x14ac:dyDescent="0.15">
      <c r="A973" s="3"/>
      <c r="B973" s="11"/>
      <c r="C973" s="3"/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 customHeight="1" x14ac:dyDescent="0.15">
      <c r="A974" s="3"/>
      <c r="B974" s="11"/>
      <c r="C974" s="3"/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 customHeight="1" x14ac:dyDescent="0.15">
      <c r="A975" s="3"/>
      <c r="B975" s="11"/>
      <c r="C975" s="3"/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 customHeight="1" x14ac:dyDescent="0.15">
      <c r="A976" s="3"/>
      <c r="B976" s="11"/>
      <c r="C976" s="3"/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 customHeight="1" x14ac:dyDescent="0.15">
      <c r="A977" s="3"/>
      <c r="B977" s="11"/>
      <c r="C977" s="3"/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 customHeight="1" x14ac:dyDescent="0.15">
      <c r="A978" s="3"/>
      <c r="B978" s="11"/>
      <c r="C978" s="3"/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 customHeight="1" x14ac:dyDescent="0.15">
      <c r="A979" s="3"/>
      <c r="B979" s="11"/>
      <c r="C979" s="3"/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 customHeight="1" x14ac:dyDescent="0.15">
      <c r="A980" s="3"/>
      <c r="B980" s="11"/>
      <c r="C980" s="3"/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 customHeight="1" x14ac:dyDescent="0.15">
      <c r="A981" s="3"/>
      <c r="B981" s="11"/>
      <c r="C981" s="3"/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 customHeight="1" x14ac:dyDescent="0.15">
      <c r="A982" s="3"/>
      <c r="B982" s="11"/>
      <c r="C982" s="3"/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 customHeight="1" x14ac:dyDescent="0.15">
      <c r="A983" s="3"/>
      <c r="B983" s="11"/>
      <c r="C983" s="3"/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 customHeight="1" x14ac:dyDescent="0.15">
      <c r="A984" s="3"/>
      <c r="B984" s="11"/>
      <c r="C984" s="3"/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 customHeight="1" x14ac:dyDescent="0.15">
      <c r="A985" s="3"/>
      <c r="B985" s="11"/>
      <c r="C985" s="3"/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 customHeight="1" x14ac:dyDescent="0.15">
      <c r="A986" s="3"/>
      <c r="B986" s="11"/>
      <c r="C986" s="3"/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 customHeight="1" x14ac:dyDescent="0.15">
      <c r="A987" s="3"/>
      <c r="B987" s="11"/>
      <c r="C987" s="3"/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 customHeight="1" x14ac:dyDescent="0.15">
      <c r="A988" s="3"/>
      <c r="B988" s="11"/>
      <c r="C988" s="3"/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 customHeight="1" x14ac:dyDescent="0.15">
      <c r="A989" s="3"/>
      <c r="B989" s="11"/>
      <c r="C989" s="3"/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 customHeight="1" x14ac:dyDescent="0.15">
      <c r="A990" s="3"/>
      <c r="B990" s="11"/>
      <c r="C990" s="3"/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 customHeight="1" x14ac:dyDescent="0.15">
      <c r="A991" s="3"/>
      <c r="B991" s="11"/>
      <c r="C991" s="3"/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 customHeight="1" x14ac:dyDescent="0.15">
      <c r="A992" s="3"/>
      <c r="B992" s="11"/>
      <c r="C992" s="3"/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 customHeight="1" x14ac:dyDescent="0.15">
      <c r="A993" s="3"/>
      <c r="B993" s="11"/>
      <c r="C993" s="3"/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 customHeight="1" x14ac:dyDescent="0.15">
      <c r="A994" s="3"/>
      <c r="B994" s="11"/>
      <c r="C994" s="3"/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5" customHeight="1" x14ac:dyDescent="0.15">
      <c r="A995" s="3"/>
      <c r="B995" s="11"/>
      <c r="C995" s="3"/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5" customHeight="1" x14ac:dyDescent="0.15">
      <c r="A996" s="3"/>
      <c r="B996" s="11"/>
      <c r="C996" s="3"/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5" customHeight="1" x14ac:dyDescent="0.15">
      <c r="A997" s="3"/>
      <c r="B997" s="11"/>
      <c r="C997" s="3"/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5" customHeight="1" x14ac:dyDescent="0.15">
      <c r="A998" s="3"/>
      <c r="B998" s="11"/>
      <c r="C998" s="3"/>
      <c r="D998" s="4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5" customHeight="1" x14ac:dyDescent="0.15">
      <c r="A999" s="3"/>
      <c r="B999" s="11"/>
      <c r="C999" s="3"/>
      <c r="D999" s="4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5" customHeight="1" x14ac:dyDescent="0.15">
      <c r="A1000" s="3"/>
      <c r="B1000" s="11"/>
      <c r="C1000" s="3"/>
      <c r="D1000" s="4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3.5" customHeight="1" x14ac:dyDescent="0.15">
      <c r="A1001" s="3"/>
      <c r="B1001" s="11"/>
      <c r="C1001" s="3"/>
      <c r="D1001" s="4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3.5" customHeight="1" x14ac:dyDescent="0.15">
      <c r="A1002" s="3"/>
      <c r="B1002" s="11"/>
      <c r="C1002" s="3"/>
      <c r="D1002" s="4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3.5" customHeight="1" x14ac:dyDescent="0.15">
      <c r="A1003" s="3"/>
      <c r="B1003" s="11"/>
      <c r="C1003" s="3"/>
      <c r="D1003" s="4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3.5" customHeight="1" x14ac:dyDescent="0.15">
      <c r="A1004" s="3"/>
      <c r="B1004" s="11"/>
      <c r="C1004" s="3"/>
      <c r="D1004" s="4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3.5" customHeight="1" x14ac:dyDescent="0.15">
      <c r="A1005" s="3"/>
      <c r="B1005" s="11"/>
      <c r="C1005" s="3"/>
      <c r="D1005" s="4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3.5" customHeight="1" x14ac:dyDescent="0.15">
      <c r="A1006" s="3"/>
      <c r="B1006" s="11"/>
      <c r="C1006" s="3"/>
      <c r="D1006" s="4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3.5" customHeight="1" x14ac:dyDescent="0.15">
      <c r="A1007" s="3"/>
      <c r="B1007" s="11"/>
      <c r="C1007" s="3"/>
      <c r="D1007" s="4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3.5" customHeight="1" x14ac:dyDescent="0.15">
      <c r="A1008" s="3"/>
      <c r="B1008" s="11"/>
      <c r="C1008" s="3"/>
      <c r="D1008" s="4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3.5" customHeight="1" x14ac:dyDescent="0.15">
      <c r="A1009" s="3"/>
      <c r="B1009" s="11"/>
      <c r="C1009" s="3"/>
      <c r="D1009" s="4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3.5" customHeight="1" x14ac:dyDescent="0.15">
      <c r="A1010" s="3"/>
      <c r="B1010" s="11"/>
      <c r="C1010" s="3"/>
      <c r="D1010" s="4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3.5" customHeight="1" x14ac:dyDescent="0.15">
      <c r="A1011" s="3"/>
      <c r="B1011" s="11"/>
      <c r="C1011" s="3"/>
      <c r="D1011" s="4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3.5" customHeight="1" x14ac:dyDescent="0.15">
      <c r="A1012" s="3"/>
      <c r="B1012" s="11"/>
      <c r="C1012" s="3"/>
      <c r="D1012" s="4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3.5" customHeight="1" x14ac:dyDescent="0.15">
      <c r="A1013" s="3"/>
      <c r="B1013" s="11"/>
      <c r="C1013" s="3"/>
      <c r="D1013" s="4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</sheetData>
  <mergeCells count="28">
    <mergeCell ref="B54:D54"/>
    <mergeCell ref="B55:D55"/>
    <mergeCell ref="A6:B6"/>
    <mergeCell ref="C6:E6"/>
    <mergeCell ref="F6:K6"/>
    <mergeCell ref="A7:B7"/>
    <mergeCell ref="C7:E7"/>
    <mergeCell ref="F7:K7"/>
    <mergeCell ref="O6:T6"/>
    <mergeCell ref="O7:T7"/>
    <mergeCell ref="D19:E19"/>
    <mergeCell ref="B52:D52"/>
    <mergeCell ref="B53:D53"/>
    <mergeCell ref="L6:N6"/>
    <mergeCell ref="A4:B4"/>
    <mergeCell ref="C4:D4"/>
    <mergeCell ref="F4:K4"/>
    <mergeCell ref="L4:T4"/>
    <mergeCell ref="A5:B5"/>
    <mergeCell ref="C5:T5"/>
    <mergeCell ref="A2:B2"/>
    <mergeCell ref="C2:D2"/>
    <mergeCell ref="F2:K2"/>
    <mergeCell ref="L2:T2"/>
    <mergeCell ref="C3:E3"/>
    <mergeCell ref="F3:K3"/>
    <mergeCell ref="L3:N3"/>
    <mergeCell ref="A3:B3"/>
  </mergeCells>
  <dataValidations count="3">
    <dataValidation type="list" allowBlank="1" showInputMessage="1" showErrorMessage="1" prompt=" - " sqref="F10:T51" xr:uid="{00000000-0002-0000-0500-000000000000}">
      <formula1>"O"</formula1>
    </dataValidation>
    <dataValidation type="list" allowBlank="1" showInputMessage="1" showErrorMessage="1" prompt=" - " sqref="F52:T52" xr:uid="{00000000-0002-0000-0500-000001000000}">
      <formula1>"N,A,B"</formula1>
    </dataValidation>
    <dataValidation type="list" allowBlank="1" showInputMessage="1" showErrorMessage="1" prompt=" - " sqref="F53:T53" xr:uid="{00000000-0002-0000-05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abSelected="1" workbookViewId="0">
      <pane ySplit="9" topLeftCell="A10" activePane="bottomLeft" state="frozen"/>
      <selection pane="bottomLeft" activeCell="Z17" sqref="Z17"/>
    </sheetView>
  </sheetViews>
  <sheetFormatPr defaultColWidth="12.625" defaultRowHeight="15" customHeight="1" x14ac:dyDescent="0.15"/>
  <cols>
    <col min="1" max="1" width="6.87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1" width="2.875" customWidth="1"/>
    <col min="22" max="23" width="9" customWidth="1"/>
    <col min="24" max="26" width="10" customWidth="1"/>
  </cols>
  <sheetData>
    <row r="1" spans="1:26" ht="13.5" customHeight="1" x14ac:dyDescent="0.15">
      <c r="A1" s="3"/>
      <c r="B1" s="11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 x14ac:dyDescent="0.15">
      <c r="A2" s="132" t="s">
        <v>8</v>
      </c>
      <c r="B2" s="136"/>
      <c r="C2" s="134" t="e">
        <f>#REF!</f>
        <v>#REF!</v>
      </c>
      <c r="D2" s="136"/>
      <c r="E2" s="3"/>
      <c r="F2" s="171" t="s">
        <v>1</v>
      </c>
      <c r="G2" s="135"/>
      <c r="H2" s="135"/>
      <c r="I2" s="135"/>
      <c r="J2" s="135"/>
      <c r="K2" s="136"/>
      <c r="L2" s="134" t="e">
        <f>#REF!</f>
        <v>#REF!</v>
      </c>
      <c r="M2" s="135"/>
      <c r="N2" s="135"/>
      <c r="O2" s="135"/>
      <c r="P2" s="135"/>
      <c r="Q2" s="135"/>
      <c r="R2" s="135"/>
      <c r="S2" s="135"/>
      <c r="T2" s="141"/>
      <c r="U2" s="3"/>
      <c r="V2" s="3"/>
      <c r="W2" s="3"/>
      <c r="X2" s="3"/>
      <c r="Y2" s="3"/>
      <c r="Z2" s="3"/>
    </row>
    <row r="3" spans="1:26" ht="13.5" customHeight="1" x14ac:dyDescent="0.15">
      <c r="A3" s="148" t="s">
        <v>9</v>
      </c>
      <c r="B3" s="130"/>
      <c r="C3" s="142" t="s">
        <v>10</v>
      </c>
      <c r="D3" s="143"/>
      <c r="E3" s="144"/>
      <c r="F3" s="145" t="s">
        <v>11</v>
      </c>
      <c r="G3" s="129"/>
      <c r="H3" s="129"/>
      <c r="I3" s="129"/>
      <c r="J3" s="129"/>
      <c r="K3" s="130"/>
      <c r="L3" s="146"/>
      <c r="M3" s="143"/>
      <c r="N3" s="147"/>
      <c r="O3" s="6"/>
      <c r="P3" s="6"/>
      <c r="Q3" s="6"/>
      <c r="R3" s="6"/>
      <c r="S3" s="6"/>
      <c r="T3" s="7"/>
      <c r="U3" s="3"/>
      <c r="V3" s="3"/>
      <c r="W3" s="3"/>
      <c r="X3" s="3"/>
      <c r="Y3" s="3"/>
      <c r="Z3" s="3"/>
    </row>
    <row r="4" spans="1:26" ht="13.5" customHeight="1" x14ac:dyDescent="0.15">
      <c r="A4" s="148" t="s">
        <v>12</v>
      </c>
      <c r="B4" s="130"/>
      <c r="C4" s="149">
        <v>300</v>
      </c>
      <c r="D4" s="131"/>
      <c r="E4" s="8"/>
      <c r="F4" s="145" t="s">
        <v>13</v>
      </c>
      <c r="G4" s="129"/>
      <c r="H4" s="129"/>
      <c r="I4" s="129"/>
      <c r="J4" s="129"/>
      <c r="K4" s="130"/>
      <c r="L4" s="150" t="e">
        <f>IF(#REF!&lt;&gt;"N/A",SUM(C4*#REF!/1000,-O7),"N/A")</f>
        <v>#REF!</v>
      </c>
      <c r="M4" s="129"/>
      <c r="N4" s="129"/>
      <c r="O4" s="129"/>
      <c r="P4" s="129"/>
      <c r="Q4" s="129"/>
      <c r="R4" s="129"/>
      <c r="S4" s="129"/>
      <c r="T4" s="151"/>
      <c r="U4" s="3"/>
      <c r="V4" s="5"/>
      <c r="W4" s="3"/>
      <c r="X4" s="3"/>
      <c r="Y4" s="3"/>
      <c r="Z4" s="3"/>
    </row>
    <row r="5" spans="1:26" ht="13.5" customHeight="1" x14ac:dyDescent="0.15">
      <c r="A5" s="148" t="s">
        <v>14</v>
      </c>
      <c r="B5" s="130"/>
      <c r="C5" s="152" t="s">
        <v>15</v>
      </c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51"/>
      <c r="U5" s="3"/>
      <c r="V5" s="3"/>
      <c r="W5" s="3"/>
      <c r="X5" s="3"/>
      <c r="Y5" s="3"/>
      <c r="Z5" s="3"/>
    </row>
    <row r="6" spans="1:26" ht="13.5" customHeight="1" x14ac:dyDescent="0.15">
      <c r="A6" s="167" t="s">
        <v>2</v>
      </c>
      <c r="B6" s="130"/>
      <c r="C6" s="153" t="s">
        <v>3</v>
      </c>
      <c r="D6" s="129"/>
      <c r="E6" s="130"/>
      <c r="F6" s="153" t="s">
        <v>4</v>
      </c>
      <c r="G6" s="129"/>
      <c r="H6" s="129"/>
      <c r="I6" s="129"/>
      <c r="J6" s="129"/>
      <c r="K6" s="130"/>
      <c r="L6" s="168" t="s">
        <v>16</v>
      </c>
      <c r="M6" s="129"/>
      <c r="N6" s="131"/>
      <c r="O6" s="153" t="s">
        <v>7</v>
      </c>
      <c r="P6" s="129"/>
      <c r="Q6" s="129"/>
      <c r="R6" s="129"/>
      <c r="S6" s="129"/>
      <c r="T6" s="151"/>
      <c r="U6" s="3"/>
      <c r="V6" s="5"/>
      <c r="W6" s="3"/>
      <c r="X6" s="3"/>
      <c r="Y6" s="3"/>
      <c r="Z6" s="3"/>
    </row>
    <row r="7" spans="1:26" ht="13.5" customHeight="1" x14ac:dyDescent="0.15">
      <c r="A7" s="169">
        <f>COUNTIF(F40:HQ40,"P")</f>
        <v>12</v>
      </c>
      <c r="B7" s="170"/>
      <c r="C7" s="154">
        <f>COUNTIF(F40:HQ40,"F")</f>
        <v>2</v>
      </c>
      <c r="D7" s="155"/>
      <c r="E7" s="170"/>
      <c r="F7" s="154">
        <f>SUM(O7,-A7,-C7)</f>
        <v>1</v>
      </c>
      <c r="G7" s="155"/>
      <c r="H7" s="155"/>
      <c r="I7" s="155"/>
      <c r="J7" s="155"/>
      <c r="K7" s="170"/>
      <c r="L7" s="9">
        <f>COUNTIF(E39:HQ39,"N")</f>
        <v>12</v>
      </c>
      <c r="M7" s="9">
        <f>COUNTIF(E39:HQ39,"A")</f>
        <v>2</v>
      </c>
      <c r="N7" s="9">
        <f>COUNTIF(E39:HQ39,"B")</f>
        <v>1</v>
      </c>
      <c r="O7" s="154">
        <f>COUNTA(E9:HT9)</f>
        <v>15</v>
      </c>
      <c r="P7" s="155"/>
      <c r="Q7" s="155"/>
      <c r="R7" s="155"/>
      <c r="S7" s="155"/>
      <c r="T7" s="156"/>
      <c r="U7" s="10"/>
      <c r="V7" s="3"/>
      <c r="W7" s="3"/>
      <c r="X7" s="3"/>
      <c r="Y7" s="3"/>
      <c r="Z7" s="3"/>
    </row>
    <row r="8" spans="1:26" ht="12" customHeight="1" x14ac:dyDescent="0.15">
      <c r="A8" s="3"/>
      <c r="B8" s="11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6.5" customHeight="1" x14ac:dyDescent="0.15">
      <c r="A9" s="71"/>
      <c r="B9" s="121"/>
      <c r="C9" s="122"/>
      <c r="D9" s="123"/>
      <c r="E9" s="122"/>
      <c r="F9" s="124" t="s">
        <v>17</v>
      </c>
      <c r="G9" s="124" t="s">
        <v>18</v>
      </c>
      <c r="H9" s="124" t="s">
        <v>19</v>
      </c>
      <c r="I9" s="124" t="s">
        <v>20</v>
      </c>
      <c r="J9" s="124" t="s">
        <v>21</v>
      </c>
      <c r="K9" s="124" t="s">
        <v>22</v>
      </c>
      <c r="L9" s="124" t="s">
        <v>23</v>
      </c>
      <c r="M9" s="124" t="s">
        <v>24</v>
      </c>
      <c r="N9" s="124" t="s">
        <v>25</v>
      </c>
      <c r="O9" s="124" t="s">
        <v>26</v>
      </c>
      <c r="P9" s="124" t="s">
        <v>27</v>
      </c>
      <c r="Q9" s="124" t="s">
        <v>28</v>
      </c>
      <c r="R9" s="124" t="s">
        <v>29</v>
      </c>
      <c r="S9" s="124" t="s">
        <v>30</v>
      </c>
      <c r="T9" s="125" t="s">
        <v>31</v>
      </c>
      <c r="U9" s="77"/>
      <c r="V9" s="5"/>
      <c r="W9" s="3"/>
      <c r="X9" s="3"/>
      <c r="Y9" s="3"/>
      <c r="Z9" s="3"/>
    </row>
    <row r="10" spans="1:26" ht="13.5" customHeight="1" x14ac:dyDescent="0.3">
      <c r="A10" s="17" t="s">
        <v>32</v>
      </c>
      <c r="B10" s="78" t="s">
        <v>64</v>
      </c>
      <c r="C10" s="79"/>
      <c r="D10" s="27"/>
      <c r="E10" s="80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2"/>
      <c r="U10" s="3"/>
      <c r="V10" s="3"/>
      <c r="W10" s="3"/>
      <c r="X10" s="3"/>
      <c r="Y10" s="3"/>
      <c r="Z10" s="3"/>
    </row>
    <row r="11" spans="1:26" ht="13.5" customHeight="1" x14ac:dyDescent="0.3">
      <c r="A11" s="83"/>
      <c r="B11" s="78"/>
      <c r="C11" s="79"/>
      <c r="D11" s="27" t="s">
        <v>65</v>
      </c>
      <c r="E11" s="84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2"/>
      <c r="U11" s="3"/>
      <c r="V11" s="5"/>
      <c r="W11" s="3"/>
      <c r="X11" s="3"/>
      <c r="Y11" s="3"/>
      <c r="Z11" s="3"/>
    </row>
    <row r="12" spans="1:26" ht="13.5" customHeight="1" x14ac:dyDescent="0.3">
      <c r="A12" s="83"/>
      <c r="B12" s="78"/>
      <c r="C12" s="79"/>
      <c r="D12" s="27"/>
      <c r="E12" s="84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2"/>
      <c r="U12" s="3"/>
      <c r="V12" s="3"/>
      <c r="W12" s="3"/>
      <c r="X12" s="3"/>
      <c r="Y12" s="3"/>
      <c r="Z12" s="3"/>
    </row>
    <row r="13" spans="1:26" ht="13.5" customHeight="1" x14ac:dyDescent="0.3">
      <c r="A13" s="83"/>
      <c r="B13" s="78"/>
      <c r="C13" s="79"/>
      <c r="D13" s="27"/>
      <c r="E13" s="85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2"/>
      <c r="U13" s="3"/>
      <c r="V13" s="3"/>
      <c r="W13" s="3"/>
      <c r="X13" s="3"/>
      <c r="Y13" s="3"/>
      <c r="Z13" s="3"/>
    </row>
    <row r="14" spans="1:26" ht="13.5" customHeight="1" x14ac:dyDescent="0.3">
      <c r="A14" s="83"/>
      <c r="B14" s="78" t="s">
        <v>84</v>
      </c>
      <c r="C14" s="79"/>
      <c r="D14" s="27"/>
      <c r="E14" s="86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2"/>
      <c r="U14" s="3"/>
      <c r="V14" s="3"/>
      <c r="W14" s="3"/>
      <c r="X14" s="3"/>
      <c r="Y14" s="3"/>
      <c r="Z14" s="3"/>
    </row>
    <row r="15" spans="1:26" ht="13.5" customHeight="1" x14ac:dyDescent="0.3">
      <c r="A15" s="83"/>
      <c r="B15" s="78"/>
      <c r="C15" s="79"/>
      <c r="D15" s="27" t="s">
        <v>67</v>
      </c>
      <c r="E15" s="86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2"/>
      <c r="U15" s="3"/>
      <c r="V15" s="3"/>
      <c r="W15" s="5"/>
      <c r="X15" s="3"/>
      <c r="Y15" s="3"/>
      <c r="Z15" s="3"/>
    </row>
    <row r="16" spans="1:26" ht="13.5" customHeight="1" x14ac:dyDescent="0.3">
      <c r="A16" s="83"/>
      <c r="B16" s="78"/>
      <c r="C16" s="79"/>
      <c r="D16" s="27" t="s">
        <v>68</v>
      </c>
      <c r="E16" s="86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2"/>
      <c r="U16" s="3"/>
      <c r="V16" s="3"/>
      <c r="W16" s="3"/>
      <c r="X16" s="3"/>
      <c r="Y16" s="3"/>
      <c r="Z16" s="3"/>
    </row>
    <row r="17" spans="1:26" ht="13.5" customHeight="1" x14ac:dyDescent="0.3">
      <c r="A17" s="83"/>
      <c r="B17" s="78"/>
      <c r="C17" s="79"/>
      <c r="D17" s="27" t="s">
        <v>69</v>
      </c>
      <c r="E17" s="86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2"/>
      <c r="U17" s="87"/>
      <c r="V17" s="3"/>
      <c r="W17" s="3"/>
      <c r="X17" s="3"/>
      <c r="Y17" s="3"/>
      <c r="Z17" s="3"/>
    </row>
    <row r="18" spans="1:26" ht="13.5" customHeight="1" x14ac:dyDescent="0.3">
      <c r="A18" s="83"/>
      <c r="B18" s="78" t="s">
        <v>85</v>
      </c>
      <c r="C18" s="79"/>
      <c r="D18" s="27"/>
      <c r="E18" s="86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2"/>
      <c r="U18" s="87"/>
      <c r="V18" s="3"/>
      <c r="W18" s="3"/>
      <c r="X18" s="3"/>
      <c r="Y18" s="3"/>
      <c r="Z18" s="3"/>
    </row>
    <row r="19" spans="1:26" ht="13.5" customHeight="1" x14ac:dyDescent="0.3">
      <c r="A19" s="83"/>
      <c r="B19" s="78"/>
      <c r="C19" s="79"/>
      <c r="D19" s="174" t="s">
        <v>71</v>
      </c>
      <c r="E19" s="158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2"/>
      <c r="U19" s="3"/>
      <c r="V19" s="3"/>
      <c r="W19" s="3"/>
      <c r="X19" s="3"/>
      <c r="Y19" s="3"/>
      <c r="Z19" s="3"/>
    </row>
    <row r="20" spans="1:26" ht="13.5" customHeight="1" x14ac:dyDescent="0.3">
      <c r="A20" s="83"/>
      <c r="B20" s="78"/>
      <c r="C20" s="79"/>
      <c r="D20" s="27">
        <v>5</v>
      </c>
      <c r="E20" s="86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2"/>
      <c r="U20" s="3"/>
      <c r="V20" s="3"/>
      <c r="W20" s="3"/>
      <c r="X20" s="3"/>
      <c r="Y20" s="3"/>
      <c r="Z20" s="3"/>
    </row>
    <row r="21" spans="1:26" ht="13.5" customHeight="1" x14ac:dyDescent="0.3">
      <c r="A21" s="83"/>
      <c r="B21" s="78"/>
      <c r="C21" s="79"/>
      <c r="D21" s="27">
        <v>10</v>
      </c>
      <c r="E21" s="86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2"/>
      <c r="U21" s="3"/>
      <c r="V21" s="3"/>
      <c r="W21" s="3"/>
      <c r="X21" s="3"/>
      <c r="Y21" s="3"/>
      <c r="Z21" s="3"/>
    </row>
    <row r="22" spans="1:26" ht="13.5" customHeight="1" x14ac:dyDescent="0.3">
      <c r="A22" s="83"/>
      <c r="B22" s="78"/>
      <c r="C22" s="79"/>
      <c r="D22" s="27"/>
      <c r="E22" s="86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2"/>
      <c r="U22" s="3"/>
      <c r="V22" s="3"/>
      <c r="W22" s="3"/>
      <c r="X22" s="3"/>
      <c r="Y22" s="3"/>
      <c r="Z22" s="3"/>
    </row>
    <row r="23" spans="1:26" ht="13.5" customHeight="1" x14ac:dyDescent="0.3">
      <c r="A23" s="83"/>
      <c r="B23" s="78"/>
      <c r="C23" s="79"/>
      <c r="D23" s="27"/>
      <c r="E23" s="86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2"/>
      <c r="U23" s="3"/>
      <c r="V23" s="3"/>
      <c r="W23" s="3"/>
      <c r="X23" s="3"/>
      <c r="Y23" s="3"/>
      <c r="Z23" s="3"/>
    </row>
    <row r="24" spans="1:26" ht="13.5" customHeight="1" x14ac:dyDescent="0.3">
      <c r="A24" s="83"/>
      <c r="B24" s="78"/>
      <c r="C24" s="79"/>
      <c r="D24" s="27"/>
      <c r="E24" s="86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2"/>
      <c r="U24" s="3"/>
      <c r="V24" s="3"/>
      <c r="W24" s="3"/>
      <c r="X24" s="3"/>
      <c r="Y24" s="3"/>
      <c r="Z24" s="3"/>
    </row>
    <row r="25" spans="1:26" ht="13.5" customHeight="1" x14ac:dyDescent="0.3">
      <c r="A25" s="83"/>
      <c r="B25" s="78"/>
      <c r="C25" s="79"/>
      <c r="D25" s="27"/>
      <c r="E25" s="86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2"/>
      <c r="U25" s="3"/>
      <c r="V25" s="3"/>
      <c r="W25" s="3"/>
      <c r="X25" s="3"/>
      <c r="Y25" s="3"/>
      <c r="Z25" s="3"/>
    </row>
    <row r="26" spans="1:26" ht="13.5" customHeight="1" x14ac:dyDescent="0.3">
      <c r="A26" s="83"/>
      <c r="B26" s="78"/>
      <c r="C26" s="79"/>
      <c r="D26" s="27"/>
      <c r="E26" s="86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2"/>
      <c r="U26" s="3"/>
      <c r="V26" s="3"/>
      <c r="W26" s="3"/>
      <c r="X26" s="3"/>
      <c r="Y26" s="3"/>
      <c r="Z26" s="3"/>
    </row>
    <row r="27" spans="1:26" ht="13.5" customHeight="1" x14ac:dyDescent="0.3">
      <c r="A27" s="83"/>
      <c r="B27" s="78"/>
      <c r="C27" s="79"/>
      <c r="D27" s="27"/>
      <c r="E27" s="86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2"/>
      <c r="U27" s="3"/>
      <c r="V27" s="3"/>
      <c r="W27" s="3"/>
      <c r="X27" s="3"/>
      <c r="Y27" s="3"/>
      <c r="Z27" s="3"/>
    </row>
    <row r="28" spans="1:26" ht="13.5" customHeight="1" x14ac:dyDescent="0.3">
      <c r="A28" s="83"/>
      <c r="B28" s="78"/>
      <c r="C28" s="79"/>
      <c r="D28" s="27"/>
      <c r="E28" s="86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2"/>
      <c r="U28" s="3"/>
      <c r="V28" s="3"/>
      <c r="W28" s="3"/>
      <c r="X28" s="3"/>
      <c r="Y28" s="3"/>
      <c r="Z28" s="3"/>
    </row>
    <row r="29" spans="1:26" ht="13.5" customHeight="1" x14ac:dyDescent="0.3">
      <c r="A29" s="83"/>
      <c r="B29" s="78"/>
      <c r="C29" s="79"/>
      <c r="D29" s="27"/>
      <c r="E29" s="86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2"/>
      <c r="U29" s="3"/>
      <c r="V29" s="3"/>
      <c r="W29" s="3"/>
      <c r="X29" s="3"/>
      <c r="Y29" s="3"/>
      <c r="Z29" s="3"/>
    </row>
    <row r="30" spans="1:26" ht="13.5" customHeight="1" x14ac:dyDescent="0.3">
      <c r="A30" s="83"/>
      <c r="B30" s="88"/>
      <c r="C30" s="89"/>
      <c r="D30" s="90"/>
      <c r="E30" s="91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3"/>
      <c r="U30" s="3"/>
      <c r="V30" s="3"/>
      <c r="W30" s="3"/>
      <c r="X30" s="3"/>
      <c r="Y30" s="3"/>
      <c r="Z30" s="3"/>
    </row>
    <row r="31" spans="1:26" ht="13.5" customHeight="1" x14ac:dyDescent="0.3">
      <c r="A31" s="40" t="s">
        <v>43</v>
      </c>
      <c r="B31" s="41" t="s">
        <v>44</v>
      </c>
      <c r="C31" s="94"/>
      <c r="D31" s="95"/>
      <c r="E31" s="96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8"/>
      <c r="U31" s="3"/>
      <c r="V31" s="3"/>
      <c r="W31" s="3"/>
      <c r="X31" s="3"/>
      <c r="Y31" s="3"/>
      <c r="Z31" s="3"/>
    </row>
    <row r="32" spans="1:26" ht="13.5" customHeight="1" x14ac:dyDescent="0.3">
      <c r="A32" s="99"/>
      <c r="B32" s="50"/>
      <c r="C32" s="100"/>
      <c r="D32" s="48">
        <v>1</v>
      </c>
      <c r="E32" s="10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2"/>
      <c r="U32" s="3"/>
      <c r="V32" s="3"/>
      <c r="W32" s="3"/>
      <c r="X32" s="3"/>
      <c r="Y32" s="3"/>
      <c r="Z32" s="3"/>
    </row>
    <row r="33" spans="1:26" ht="13.5" customHeight="1" x14ac:dyDescent="0.3">
      <c r="A33" s="99"/>
      <c r="B33" s="50"/>
      <c r="C33" s="47"/>
      <c r="D33" s="48">
        <v>2</v>
      </c>
      <c r="E33" s="102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2"/>
      <c r="U33" s="3"/>
      <c r="V33" s="3"/>
      <c r="W33" s="3"/>
      <c r="X33" s="3"/>
      <c r="Y33" s="3"/>
      <c r="Z33" s="3"/>
    </row>
    <row r="34" spans="1:26" ht="13.5" customHeight="1" x14ac:dyDescent="0.3">
      <c r="A34" s="99"/>
      <c r="B34" s="50" t="s">
        <v>47</v>
      </c>
      <c r="C34" s="47"/>
      <c r="D34" s="48"/>
      <c r="E34" s="102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2"/>
      <c r="U34" s="3"/>
      <c r="V34" s="3"/>
      <c r="W34" s="3"/>
      <c r="X34" s="3"/>
      <c r="Y34" s="3"/>
      <c r="Z34" s="3"/>
    </row>
    <row r="35" spans="1:26" ht="13.5" customHeight="1" x14ac:dyDescent="0.3">
      <c r="A35" s="99"/>
      <c r="B35" s="50"/>
      <c r="C35" s="47"/>
      <c r="D35" s="48"/>
      <c r="E35" s="102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2"/>
      <c r="U35" s="3"/>
      <c r="V35" s="3"/>
      <c r="W35" s="3"/>
      <c r="X35" s="3"/>
      <c r="Y35" s="3"/>
      <c r="Z35" s="3"/>
    </row>
    <row r="36" spans="1:26" ht="13.5" customHeight="1" x14ac:dyDescent="0.3">
      <c r="A36" s="99"/>
      <c r="B36" s="50" t="s">
        <v>48</v>
      </c>
      <c r="C36" s="47"/>
      <c r="D36" s="48"/>
      <c r="E36" s="102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2"/>
      <c r="U36" s="3"/>
      <c r="V36" s="3"/>
      <c r="W36" s="3"/>
      <c r="X36" s="3"/>
      <c r="Y36" s="3"/>
      <c r="Z36" s="3"/>
    </row>
    <row r="37" spans="1:26" ht="13.5" customHeight="1" x14ac:dyDescent="0.3">
      <c r="A37" s="99"/>
      <c r="B37" s="50"/>
      <c r="C37" s="47"/>
      <c r="D37" s="48" t="s">
        <v>49</v>
      </c>
      <c r="E37" s="102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2"/>
      <c r="U37" s="3"/>
      <c r="V37" s="3"/>
      <c r="W37" s="3"/>
      <c r="X37" s="3"/>
      <c r="Y37" s="3"/>
      <c r="Z37" s="3"/>
    </row>
    <row r="38" spans="1:26" ht="13.5" customHeight="1" x14ac:dyDescent="0.3">
      <c r="A38" s="99"/>
      <c r="B38" s="103"/>
      <c r="C38" s="104"/>
      <c r="D38" s="54" t="s">
        <v>78</v>
      </c>
      <c r="E38" s="105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7"/>
      <c r="U38" s="3"/>
      <c r="V38" s="3"/>
      <c r="W38" s="3"/>
      <c r="X38" s="3"/>
      <c r="Y38" s="3"/>
      <c r="Z38" s="3"/>
    </row>
    <row r="39" spans="1:26" ht="13.5" customHeight="1" x14ac:dyDescent="0.2">
      <c r="A39" s="40" t="s">
        <v>51</v>
      </c>
      <c r="B39" s="175" t="s">
        <v>52</v>
      </c>
      <c r="C39" s="160"/>
      <c r="D39" s="161"/>
      <c r="E39" s="108"/>
      <c r="F39" s="109" t="s">
        <v>5</v>
      </c>
      <c r="G39" s="109" t="s">
        <v>5</v>
      </c>
      <c r="H39" s="109" t="s">
        <v>5</v>
      </c>
      <c r="I39" s="109" t="s">
        <v>5</v>
      </c>
      <c r="J39" s="109" t="s">
        <v>5</v>
      </c>
      <c r="K39" s="109" t="s">
        <v>6</v>
      </c>
      <c r="L39" s="109" t="s">
        <v>0</v>
      </c>
      <c r="M39" s="109" t="s">
        <v>5</v>
      </c>
      <c r="N39" s="109" t="s">
        <v>5</v>
      </c>
      <c r="O39" s="109" t="s">
        <v>5</v>
      </c>
      <c r="P39" s="109" t="s">
        <v>5</v>
      </c>
      <c r="Q39" s="109" t="s">
        <v>5</v>
      </c>
      <c r="R39" s="109" t="s">
        <v>0</v>
      </c>
      <c r="S39" s="109" t="s">
        <v>5</v>
      </c>
      <c r="T39" s="110" t="s">
        <v>5</v>
      </c>
      <c r="U39" s="3"/>
      <c r="V39" s="3"/>
      <c r="W39" s="3"/>
      <c r="X39" s="3"/>
      <c r="Y39" s="3"/>
      <c r="Z39" s="3"/>
    </row>
    <row r="40" spans="1:26" ht="13.5" customHeight="1" x14ac:dyDescent="0.2">
      <c r="A40" s="126"/>
      <c r="B40" s="176" t="s">
        <v>53</v>
      </c>
      <c r="C40" s="129"/>
      <c r="D40" s="130"/>
      <c r="E40" s="111"/>
      <c r="F40" s="112" t="s">
        <v>54</v>
      </c>
      <c r="G40" s="112" t="s">
        <v>54</v>
      </c>
      <c r="H40" s="112" t="s">
        <v>54</v>
      </c>
      <c r="I40" s="112" t="s">
        <v>54</v>
      </c>
      <c r="J40" s="112" t="s">
        <v>54</v>
      </c>
      <c r="K40" s="112" t="s">
        <v>46</v>
      </c>
      <c r="L40" s="112" t="s">
        <v>46</v>
      </c>
      <c r="M40" s="112" t="s">
        <v>54</v>
      </c>
      <c r="N40" s="112" t="s">
        <v>54</v>
      </c>
      <c r="O40" s="112" t="s">
        <v>54</v>
      </c>
      <c r="P40" s="112" t="s">
        <v>54</v>
      </c>
      <c r="Q40" s="112" t="s">
        <v>54</v>
      </c>
      <c r="R40" s="112"/>
      <c r="S40" s="112" t="s">
        <v>54</v>
      </c>
      <c r="T40" s="113" t="s">
        <v>54</v>
      </c>
      <c r="U40" s="3"/>
      <c r="V40" s="3"/>
      <c r="W40" s="3"/>
      <c r="X40" s="3"/>
      <c r="Y40" s="3"/>
      <c r="Z40" s="3"/>
    </row>
    <row r="41" spans="1:26" ht="13.5" customHeight="1" x14ac:dyDescent="0.15">
      <c r="A41" s="126"/>
      <c r="B41" s="177" t="s">
        <v>55</v>
      </c>
      <c r="C41" s="129"/>
      <c r="D41" s="130"/>
      <c r="E41" s="114"/>
      <c r="F41" s="115">
        <v>39139</v>
      </c>
      <c r="G41" s="115">
        <v>39139</v>
      </c>
      <c r="H41" s="115">
        <v>39140</v>
      </c>
      <c r="I41" s="115">
        <v>39141</v>
      </c>
      <c r="J41" s="115">
        <v>39142</v>
      </c>
      <c r="K41" s="115">
        <v>39143</v>
      </c>
      <c r="L41" s="115">
        <v>39144</v>
      </c>
      <c r="M41" s="115">
        <v>39145</v>
      </c>
      <c r="N41" s="115">
        <v>39146</v>
      </c>
      <c r="O41" s="115">
        <v>39147</v>
      </c>
      <c r="P41" s="115">
        <v>39148</v>
      </c>
      <c r="Q41" s="115">
        <v>39149</v>
      </c>
      <c r="R41" s="115">
        <v>39150</v>
      </c>
      <c r="S41" s="115">
        <v>39151</v>
      </c>
      <c r="T41" s="116">
        <v>39152</v>
      </c>
      <c r="U41" s="3"/>
      <c r="V41" s="3"/>
      <c r="W41" s="3"/>
      <c r="X41" s="3"/>
      <c r="Y41" s="3"/>
      <c r="Z41" s="3"/>
    </row>
    <row r="42" spans="1:26" ht="79.5" customHeight="1" x14ac:dyDescent="0.15">
      <c r="A42" s="127"/>
      <c r="B42" s="178" t="s">
        <v>56</v>
      </c>
      <c r="C42" s="165"/>
      <c r="D42" s="166"/>
      <c r="E42" s="118"/>
      <c r="F42" s="119"/>
      <c r="G42" s="119"/>
      <c r="H42" s="119"/>
      <c r="I42" s="119"/>
      <c r="J42" s="119"/>
      <c r="K42" s="119" t="s">
        <v>58</v>
      </c>
      <c r="L42" s="119" t="s">
        <v>60</v>
      </c>
      <c r="M42" s="119" t="s">
        <v>61</v>
      </c>
      <c r="N42" s="119" t="s">
        <v>62</v>
      </c>
      <c r="O42" s="119" t="s">
        <v>63</v>
      </c>
      <c r="P42" s="119" t="s">
        <v>79</v>
      </c>
      <c r="Q42" s="119" t="s">
        <v>80</v>
      </c>
      <c r="R42" s="119" t="s">
        <v>81</v>
      </c>
      <c r="S42" s="119" t="s">
        <v>82</v>
      </c>
      <c r="T42" s="120" t="s">
        <v>83</v>
      </c>
      <c r="U42" s="3"/>
      <c r="V42" s="3"/>
      <c r="W42" s="3"/>
      <c r="X42" s="3"/>
      <c r="Y42" s="3"/>
      <c r="Z42" s="3"/>
    </row>
    <row r="43" spans="1:26" ht="12" customHeight="1" x14ac:dyDescent="0.15">
      <c r="A43" s="11"/>
      <c r="B43" s="3"/>
      <c r="C43" s="4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15">
      <c r="A44" s="3"/>
      <c r="B44" s="11"/>
      <c r="C44" s="3"/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15">
      <c r="A45" s="3"/>
      <c r="B45" s="11"/>
      <c r="C45" s="3"/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15">
      <c r="A46" s="3"/>
      <c r="B46" s="11"/>
      <c r="C46" s="3"/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15">
      <c r="A47" s="3"/>
      <c r="B47" s="11"/>
      <c r="C47" s="3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15">
      <c r="A48" s="3"/>
      <c r="B48" s="11"/>
      <c r="C48" s="3"/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15">
      <c r="A49" s="3"/>
      <c r="B49" s="11"/>
      <c r="C49" s="3"/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15">
      <c r="A50" s="3"/>
      <c r="B50" s="11"/>
      <c r="C50" s="3"/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15">
      <c r="A51" s="3"/>
      <c r="B51" s="11"/>
      <c r="C51" s="3"/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15">
      <c r="A52" s="3"/>
      <c r="B52" s="11"/>
      <c r="C52" s="3"/>
      <c r="D52" s="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15">
      <c r="A53" s="3"/>
      <c r="B53" s="11"/>
      <c r="C53" s="3"/>
      <c r="D53" s="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15">
      <c r="A54" s="3"/>
      <c r="B54" s="11"/>
      <c r="C54" s="3"/>
      <c r="D54" s="4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15">
      <c r="A55" s="3"/>
      <c r="B55" s="11"/>
      <c r="C55" s="3"/>
      <c r="D55" s="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15">
      <c r="A56" s="3"/>
      <c r="B56" s="11"/>
      <c r="C56" s="3"/>
      <c r="D56" s="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15">
      <c r="A57" s="3"/>
      <c r="B57" s="11"/>
      <c r="C57" s="3"/>
      <c r="D57" s="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15">
      <c r="A58" s="3"/>
      <c r="B58" s="11"/>
      <c r="C58" s="3"/>
      <c r="D58" s="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15">
      <c r="A59" s="3"/>
      <c r="B59" s="11"/>
      <c r="C59" s="3"/>
      <c r="D59" s="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15">
      <c r="A60" s="3"/>
      <c r="B60" s="11"/>
      <c r="C60" s="3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15">
      <c r="A61" s="3"/>
      <c r="B61" s="11"/>
      <c r="C61" s="3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15">
      <c r="A62" s="3"/>
      <c r="B62" s="11"/>
      <c r="C62" s="3"/>
      <c r="D62" s="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15">
      <c r="A63" s="3"/>
      <c r="B63" s="11"/>
      <c r="C63" s="3"/>
      <c r="D63" s="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15">
      <c r="A64" s="3"/>
      <c r="B64" s="11"/>
      <c r="C64" s="3"/>
      <c r="D64" s="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15">
      <c r="A65" s="3"/>
      <c r="B65" s="11"/>
      <c r="C65" s="3"/>
      <c r="D65" s="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15">
      <c r="A66" s="3"/>
      <c r="B66" s="11"/>
      <c r="C66" s="3"/>
      <c r="D66" s="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15">
      <c r="A67" s="3"/>
      <c r="B67" s="11"/>
      <c r="C67" s="3"/>
      <c r="D67" s="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15">
      <c r="A68" s="3"/>
      <c r="B68" s="11"/>
      <c r="C68" s="3"/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15">
      <c r="A69" s="3"/>
      <c r="B69" s="11"/>
      <c r="C69" s="3"/>
      <c r="D69" s="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15">
      <c r="A70" s="3"/>
      <c r="B70" s="11"/>
      <c r="C70" s="3"/>
      <c r="D70" s="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15">
      <c r="A71" s="3"/>
      <c r="B71" s="11"/>
      <c r="C71" s="3"/>
      <c r="D71" s="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15">
      <c r="A72" s="3"/>
      <c r="B72" s="11"/>
      <c r="C72" s="3"/>
      <c r="D72" s="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15">
      <c r="A73" s="3"/>
      <c r="B73" s="11"/>
      <c r="C73" s="3"/>
      <c r="D73" s="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15">
      <c r="A74" s="3"/>
      <c r="B74" s="11"/>
      <c r="C74" s="3"/>
      <c r="D74" s="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15">
      <c r="A75" s="3"/>
      <c r="B75" s="11"/>
      <c r="C75" s="3"/>
      <c r="D75" s="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15">
      <c r="A76" s="3"/>
      <c r="B76" s="11"/>
      <c r="C76" s="3"/>
      <c r="D76" s="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15">
      <c r="A77" s="3"/>
      <c r="B77" s="11"/>
      <c r="C77" s="3"/>
      <c r="D77" s="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15">
      <c r="A78" s="3"/>
      <c r="B78" s="11"/>
      <c r="C78" s="3"/>
      <c r="D78" s="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15">
      <c r="A79" s="3"/>
      <c r="B79" s="11"/>
      <c r="C79" s="3"/>
      <c r="D79" s="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15">
      <c r="A80" s="3"/>
      <c r="B80" s="11"/>
      <c r="C80" s="3"/>
      <c r="D80" s="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15">
      <c r="A81" s="3"/>
      <c r="B81" s="11"/>
      <c r="C81" s="3"/>
      <c r="D81" s="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15">
      <c r="A82" s="3"/>
      <c r="B82" s="11"/>
      <c r="C82" s="3"/>
      <c r="D82" s="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15">
      <c r="A83" s="3"/>
      <c r="B83" s="11"/>
      <c r="C83" s="3"/>
      <c r="D83" s="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15">
      <c r="A84" s="3"/>
      <c r="B84" s="11"/>
      <c r="C84" s="3"/>
      <c r="D84" s="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15">
      <c r="A85" s="3"/>
      <c r="B85" s="11"/>
      <c r="C85" s="3"/>
      <c r="D85" s="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15">
      <c r="A86" s="3"/>
      <c r="B86" s="11"/>
      <c r="C86" s="3"/>
      <c r="D86" s="4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15">
      <c r="A87" s="3"/>
      <c r="B87" s="11"/>
      <c r="C87" s="3"/>
      <c r="D87" s="4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15">
      <c r="A88" s="3"/>
      <c r="B88" s="11"/>
      <c r="C88" s="3"/>
      <c r="D88" s="4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15">
      <c r="A89" s="3"/>
      <c r="B89" s="11"/>
      <c r="C89" s="3"/>
      <c r="D89" s="4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15">
      <c r="A90" s="3"/>
      <c r="B90" s="11"/>
      <c r="C90" s="3"/>
      <c r="D90" s="4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15">
      <c r="A91" s="3"/>
      <c r="B91" s="11"/>
      <c r="C91" s="3"/>
      <c r="D91" s="4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15">
      <c r="A92" s="3"/>
      <c r="B92" s="11"/>
      <c r="C92" s="3"/>
      <c r="D92" s="4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15">
      <c r="A93" s="3"/>
      <c r="B93" s="11"/>
      <c r="C93" s="3"/>
      <c r="D93" s="4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15">
      <c r="A94" s="3"/>
      <c r="B94" s="11"/>
      <c r="C94" s="3"/>
      <c r="D94" s="4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15">
      <c r="A95" s="3"/>
      <c r="B95" s="11"/>
      <c r="C95" s="3"/>
      <c r="D95" s="4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15">
      <c r="A96" s="3"/>
      <c r="B96" s="11"/>
      <c r="C96" s="3"/>
      <c r="D96" s="4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15">
      <c r="A97" s="3"/>
      <c r="B97" s="11"/>
      <c r="C97" s="3"/>
      <c r="D97" s="4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15">
      <c r="A98" s="3"/>
      <c r="B98" s="11"/>
      <c r="C98" s="3"/>
      <c r="D98" s="4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15">
      <c r="A99" s="3"/>
      <c r="B99" s="11"/>
      <c r="C99" s="3"/>
      <c r="D99" s="4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15">
      <c r="A100" s="3"/>
      <c r="B100" s="11"/>
      <c r="C100" s="3"/>
      <c r="D100" s="4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15">
      <c r="A101" s="3"/>
      <c r="B101" s="11"/>
      <c r="C101" s="3"/>
      <c r="D101" s="4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15">
      <c r="A102" s="3"/>
      <c r="B102" s="11"/>
      <c r="C102" s="3"/>
      <c r="D102" s="4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15">
      <c r="A103" s="3"/>
      <c r="B103" s="11"/>
      <c r="C103" s="3"/>
      <c r="D103" s="4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15">
      <c r="A104" s="3"/>
      <c r="B104" s="11"/>
      <c r="C104" s="3"/>
      <c r="D104" s="4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15">
      <c r="A105" s="3"/>
      <c r="B105" s="11"/>
      <c r="C105" s="3"/>
      <c r="D105" s="4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15">
      <c r="A106" s="3"/>
      <c r="B106" s="11"/>
      <c r="C106" s="3"/>
      <c r="D106" s="4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15">
      <c r="A107" s="3"/>
      <c r="B107" s="11"/>
      <c r="C107" s="3"/>
      <c r="D107" s="4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15">
      <c r="A108" s="3"/>
      <c r="B108" s="11"/>
      <c r="C108" s="3"/>
      <c r="D108" s="4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15">
      <c r="A109" s="3"/>
      <c r="B109" s="11"/>
      <c r="C109" s="3"/>
      <c r="D109" s="4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15">
      <c r="A110" s="3"/>
      <c r="B110" s="11"/>
      <c r="C110" s="3"/>
      <c r="D110" s="4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15">
      <c r="A111" s="3"/>
      <c r="B111" s="11"/>
      <c r="C111" s="3"/>
      <c r="D111" s="4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15">
      <c r="A112" s="3"/>
      <c r="B112" s="11"/>
      <c r="C112" s="3"/>
      <c r="D112" s="4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15">
      <c r="A113" s="3"/>
      <c r="B113" s="11"/>
      <c r="C113" s="3"/>
      <c r="D113" s="4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15">
      <c r="A114" s="3"/>
      <c r="B114" s="11"/>
      <c r="C114" s="3"/>
      <c r="D114" s="4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15">
      <c r="A115" s="3"/>
      <c r="B115" s="11"/>
      <c r="C115" s="3"/>
      <c r="D115" s="4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15">
      <c r="A116" s="3"/>
      <c r="B116" s="11"/>
      <c r="C116" s="3"/>
      <c r="D116" s="4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15">
      <c r="A117" s="3"/>
      <c r="B117" s="11"/>
      <c r="C117" s="3"/>
      <c r="D117" s="4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15">
      <c r="A118" s="3"/>
      <c r="B118" s="11"/>
      <c r="C118" s="3"/>
      <c r="D118" s="4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15">
      <c r="A119" s="3"/>
      <c r="B119" s="11"/>
      <c r="C119" s="3"/>
      <c r="D119" s="4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15">
      <c r="A120" s="3"/>
      <c r="B120" s="11"/>
      <c r="C120" s="3"/>
      <c r="D120" s="4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15">
      <c r="A121" s="3"/>
      <c r="B121" s="11"/>
      <c r="C121" s="3"/>
      <c r="D121" s="4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15">
      <c r="A122" s="3"/>
      <c r="B122" s="11"/>
      <c r="C122" s="3"/>
      <c r="D122" s="4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15">
      <c r="A123" s="3"/>
      <c r="B123" s="11"/>
      <c r="C123" s="3"/>
      <c r="D123" s="4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15">
      <c r="A124" s="3"/>
      <c r="B124" s="11"/>
      <c r="C124" s="3"/>
      <c r="D124" s="4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15">
      <c r="A125" s="3"/>
      <c r="B125" s="11"/>
      <c r="C125" s="3"/>
      <c r="D125" s="4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15">
      <c r="A126" s="3"/>
      <c r="B126" s="11"/>
      <c r="C126" s="3"/>
      <c r="D126" s="4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15">
      <c r="A127" s="3"/>
      <c r="B127" s="11"/>
      <c r="C127" s="3"/>
      <c r="D127" s="4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15">
      <c r="A128" s="3"/>
      <c r="B128" s="11"/>
      <c r="C128" s="3"/>
      <c r="D128" s="4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15">
      <c r="A129" s="3"/>
      <c r="B129" s="11"/>
      <c r="C129" s="3"/>
      <c r="D129" s="4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15">
      <c r="A130" s="3"/>
      <c r="B130" s="11"/>
      <c r="C130" s="3"/>
      <c r="D130" s="4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15">
      <c r="A131" s="3"/>
      <c r="B131" s="11"/>
      <c r="C131" s="3"/>
      <c r="D131" s="4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15">
      <c r="A132" s="3"/>
      <c r="B132" s="11"/>
      <c r="C132" s="3"/>
      <c r="D132" s="4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15">
      <c r="A133" s="3"/>
      <c r="B133" s="11"/>
      <c r="C133" s="3"/>
      <c r="D133" s="4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15">
      <c r="A134" s="3"/>
      <c r="B134" s="11"/>
      <c r="C134" s="3"/>
      <c r="D134" s="4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15">
      <c r="A135" s="3"/>
      <c r="B135" s="11"/>
      <c r="C135" s="3"/>
      <c r="D135" s="4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15">
      <c r="A136" s="3"/>
      <c r="B136" s="11"/>
      <c r="C136" s="3"/>
      <c r="D136" s="4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 customHeight="1" x14ac:dyDescent="0.15">
      <c r="A137" s="3"/>
      <c r="B137" s="11"/>
      <c r="C137" s="3"/>
      <c r="D137" s="4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15">
      <c r="A138" s="3"/>
      <c r="B138" s="11"/>
      <c r="C138" s="3"/>
      <c r="D138" s="4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15">
      <c r="A139" s="3"/>
      <c r="B139" s="11"/>
      <c r="C139" s="3"/>
      <c r="D139" s="4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15">
      <c r="A140" s="3"/>
      <c r="B140" s="11"/>
      <c r="C140" s="3"/>
      <c r="D140" s="4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15">
      <c r="A141" s="3"/>
      <c r="B141" s="11"/>
      <c r="C141" s="3"/>
      <c r="D141" s="4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15">
      <c r="A142" s="3"/>
      <c r="B142" s="11"/>
      <c r="C142" s="3"/>
      <c r="D142" s="4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15">
      <c r="A143" s="3"/>
      <c r="B143" s="11"/>
      <c r="C143" s="3"/>
      <c r="D143" s="4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15">
      <c r="A144" s="3"/>
      <c r="B144" s="11"/>
      <c r="C144" s="3"/>
      <c r="D144" s="4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15">
      <c r="A145" s="3"/>
      <c r="B145" s="11"/>
      <c r="C145" s="3"/>
      <c r="D145" s="4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15">
      <c r="A146" s="3"/>
      <c r="B146" s="11"/>
      <c r="C146" s="3"/>
      <c r="D146" s="4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15">
      <c r="A147" s="3"/>
      <c r="B147" s="11"/>
      <c r="C147" s="3"/>
      <c r="D147" s="4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15">
      <c r="A148" s="3"/>
      <c r="B148" s="11"/>
      <c r="C148" s="3"/>
      <c r="D148" s="4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 customHeight="1" x14ac:dyDescent="0.15">
      <c r="A149" s="3"/>
      <c r="B149" s="11"/>
      <c r="C149" s="3"/>
      <c r="D149" s="4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 customHeight="1" x14ac:dyDescent="0.15">
      <c r="A150" s="3"/>
      <c r="B150" s="11"/>
      <c r="C150" s="3"/>
      <c r="D150" s="4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 customHeight="1" x14ac:dyDescent="0.15">
      <c r="A151" s="3"/>
      <c r="B151" s="11"/>
      <c r="C151" s="3"/>
      <c r="D151" s="4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 customHeight="1" x14ac:dyDescent="0.15">
      <c r="A152" s="3"/>
      <c r="B152" s="11"/>
      <c r="C152" s="3"/>
      <c r="D152" s="4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 customHeight="1" x14ac:dyDescent="0.15">
      <c r="A153" s="3"/>
      <c r="B153" s="11"/>
      <c r="C153" s="3"/>
      <c r="D153" s="4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 customHeight="1" x14ac:dyDescent="0.15">
      <c r="A154" s="3"/>
      <c r="B154" s="11"/>
      <c r="C154" s="3"/>
      <c r="D154" s="4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 customHeight="1" x14ac:dyDescent="0.15">
      <c r="A155" s="3"/>
      <c r="B155" s="11"/>
      <c r="C155" s="3"/>
      <c r="D155" s="4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 customHeight="1" x14ac:dyDescent="0.15">
      <c r="A156" s="3"/>
      <c r="B156" s="11"/>
      <c r="C156" s="3"/>
      <c r="D156" s="4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 customHeight="1" x14ac:dyDescent="0.15">
      <c r="A157" s="3"/>
      <c r="B157" s="11"/>
      <c r="C157" s="3"/>
      <c r="D157" s="4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 customHeight="1" x14ac:dyDescent="0.15">
      <c r="A158" s="3"/>
      <c r="B158" s="11"/>
      <c r="C158" s="3"/>
      <c r="D158" s="4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 customHeight="1" x14ac:dyDescent="0.15">
      <c r="A159" s="3"/>
      <c r="B159" s="11"/>
      <c r="C159" s="3"/>
      <c r="D159" s="4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 customHeight="1" x14ac:dyDescent="0.15">
      <c r="A160" s="3"/>
      <c r="B160" s="11"/>
      <c r="C160" s="3"/>
      <c r="D160" s="4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 customHeight="1" x14ac:dyDescent="0.15">
      <c r="A161" s="3"/>
      <c r="B161" s="11"/>
      <c r="C161" s="3"/>
      <c r="D161" s="4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 customHeight="1" x14ac:dyDescent="0.15">
      <c r="A162" s="3"/>
      <c r="B162" s="11"/>
      <c r="C162" s="3"/>
      <c r="D162" s="4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 customHeight="1" x14ac:dyDescent="0.15">
      <c r="A163" s="3"/>
      <c r="B163" s="11"/>
      <c r="C163" s="3"/>
      <c r="D163" s="4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 customHeight="1" x14ac:dyDescent="0.15">
      <c r="A164" s="3"/>
      <c r="B164" s="11"/>
      <c r="C164" s="3"/>
      <c r="D164" s="4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 x14ac:dyDescent="0.15">
      <c r="A165" s="3"/>
      <c r="B165" s="11"/>
      <c r="C165" s="3"/>
      <c r="D165" s="4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 x14ac:dyDescent="0.15">
      <c r="A166" s="3"/>
      <c r="B166" s="11"/>
      <c r="C166" s="3"/>
      <c r="D166" s="4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 x14ac:dyDescent="0.15">
      <c r="A167" s="3"/>
      <c r="B167" s="11"/>
      <c r="C167" s="3"/>
      <c r="D167" s="4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 x14ac:dyDescent="0.15">
      <c r="A168" s="3"/>
      <c r="B168" s="11"/>
      <c r="C168" s="3"/>
      <c r="D168" s="4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 x14ac:dyDescent="0.15">
      <c r="A169" s="3"/>
      <c r="B169" s="11"/>
      <c r="C169" s="3"/>
      <c r="D169" s="4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 x14ac:dyDescent="0.15">
      <c r="A170" s="3"/>
      <c r="B170" s="11"/>
      <c r="C170" s="3"/>
      <c r="D170" s="4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 x14ac:dyDescent="0.15">
      <c r="A171" s="3"/>
      <c r="B171" s="11"/>
      <c r="C171" s="3"/>
      <c r="D171" s="4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 x14ac:dyDescent="0.15">
      <c r="A172" s="3"/>
      <c r="B172" s="11"/>
      <c r="C172" s="3"/>
      <c r="D172" s="4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 x14ac:dyDescent="0.15">
      <c r="A173" s="3"/>
      <c r="B173" s="11"/>
      <c r="C173" s="3"/>
      <c r="D173" s="4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 x14ac:dyDescent="0.15">
      <c r="A174" s="3"/>
      <c r="B174" s="11"/>
      <c r="C174" s="3"/>
      <c r="D174" s="4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 x14ac:dyDescent="0.15">
      <c r="A175" s="3"/>
      <c r="B175" s="11"/>
      <c r="C175" s="3"/>
      <c r="D175" s="4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 x14ac:dyDescent="0.15">
      <c r="A176" s="3"/>
      <c r="B176" s="11"/>
      <c r="C176" s="3"/>
      <c r="D176" s="4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 x14ac:dyDescent="0.15">
      <c r="A177" s="3"/>
      <c r="B177" s="11"/>
      <c r="C177" s="3"/>
      <c r="D177" s="4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 x14ac:dyDescent="0.15">
      <c r="A178" s="3"/>
      <c r="B178" s="11"/>
      <c r="C178" s="3"/>
      <c r="D178" s="4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 x14ac:dyDescent="0.15">
      <c r="A179" s="3"/>
      <c r="B179" s="11"/>
      <c r="C179" s="3"/>
      <c r="D179" s="4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 x14ac:dyDescent="0.15">
      <c r="A180" s="3"/>
      <c r="B180" s="11"/>
      <c r="C180" s="3"/>
      <c r="D180" s="4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 x14ac:dyDescent="0.15">
      <c r="A181" s="3"/>
      <c r="B181" s="11"/>
      <c r="C181" s="3"/>
      <c r="D181" s="4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 x14ac:dyDescent="0.15">
      <c r="A182" s="3"/>
      <c r="B182" s="11"/>
      <c r="C182" s="3"/>
      <c r="D182" s="4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 x14ac:dyDescent="0.15">
      <c r="A183" s="3"/>
      <c r="B183" s="11"/>
      <c r="C183" s="3"/>
      <c r="D183" s="4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 x14ac:dyDescent="0.15">
      <c r="A184" s="3"/>
      <c r="B184" s="11"/>
      <c r="C184" s="3"/>
      <c r="D184" s="4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 x14ac:dyDescent="0.15">
      <c r="A185" s="3"/>
      <c r="B185" s="11"/>
      <c r="C185" s="3"/>
      <c r="D185" s="4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 x14ac:dyDescent="0.15">
      <c r="A186" s="3"/>
      <c r="B186" s="11"/>
      <c r="C186" s="3"/>
      <c r="D186" s="4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 x14ac:dyDescent="0.15">
      <c r="A187" s="3"/>
      <c r="B187" s="11"/>
      <c r="C187" s="3"/>
      <c r="D187" s="4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 x14ac:dyDescent="0.15">
      <c r="A188" s="3"/>
      <c r="B188" s="11"/>
      <c r="C188" s="3"/>
      <c r="D188" s="4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 x14ac:dyDescent="0.15">
      <c r="A189" s="3"/>
      <c r="B189" s="11"/>
      <c r="C189" s="3"/>
      <c r="D189" s="4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 x14ac:dyDescent="0.15">
      <c r="A190" s="3"/>
      <c r="B190" s="11"/>
      <c r="C190" s="3"/>
      <c r="D190" s="4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 x14ac:dyDescent="0.15">
      <c r="A191" s="3"/>
      <c r="B191" s="11"/>
      <c r="C191" s="3"/>
      <c r="D191" s="4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 x14ac:dyDescent="0.15">
      <c r="A192" s="3"/>
      <c r="B192" s="11"/>
      <c r="C192" s="3"/>
      <c r="D192" s="4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 x14ac:dyDescent="0.15">
      <c r="A193" s="3"/>
      <c r="B193" s="11"/>
      <c r="C193" s="3"/>
      <c r="D193" s="4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 x14ac:dyDescent="0.15">
      <c r="A194" s="3"/>
      <c r="B194" s="11"/>
      <c r="C194" s="3"/>
      <c r="D194" s="4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 x14ac:dyDescent="0.15">
      <c r="A195" s="3"/>
      <c r="B195" s="11"/>
      <c r="C195" s="3"/>
      <c r="D195" s="4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 x14ac:dyDescent="0.15">
      <c r="A196" s="3"/>
      <c r="B196" s="11"/>
      <c r="C196" s="3"/>
      <c r="D196" s="4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 x14ac:dyDescent="0.15">
      <c r="A197" s="3"/>
      <c r="B197" s="11"/>
      <c r="C197" s="3"/>
      <c r="D197" s="4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 x14ac:dyDescent="0.15">
      <c r="A198" s="3"/>
      <c r="B198" s="11"/>
      <c r="C198" s="3"/>
      <c r="D198" s="4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 x14ac:dyDescent="0.15">
      <c r="A199" s="3"/>
      <c r="B199" s="11"/>
      <c r="C199" s="3"/>
      <c r="D199" s="4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 x14ac:dyDescent="0.15">
      <c r="A200" s="3"/>
      <c r="B200" s="11"/>
      <c r="C200" s="3"/>
      <c r="D200" s="4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 x14ac:dyDescent="0.15">
      <c r="A201" s="3"/>
      <c r="B201" s="11"/>
      <c r="C201" s="3"/>
      <c r="D201" s="4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 x14ac:dyDescent="0.15">
      <c r="A202" s="3"/>
      <c r="B202" s="11"/>
      <c r="C202" s="3"/>
      <c r="D202" s="4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 x14ac:dyDescent="0.15">
      <c r="A203" s="3"/>
      <c r="B203" s="11"/>
      <c r="C203" s="3"/>
      <c r="D203" s="4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 x14ac:dyDescent="0.15">
      <c r="A204" s="3"/>
      <c r="B204" s="11"/>
      <c r="C204" s="3"/>
      <c r="D204" s="4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 x14ac:dyDescent="0.15">
      <c r="A205" s="3"/>
      <c r="B205" s="11"/>
      <c r="C205" s="3"/>
      <c r="D205" s="4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 x14ac:dyDescent="0.15">
      <c r="A206" s="3"/>
      <c r="B206" s="11"/>
      <c r="C206" s="3"/>
      <c r="D206" s="4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 x14ac:dyDescent="0.15">
      <c r="A207" s="3"/>
      <c r="B207" s="11"/>
      <c r="C207" s="3"/>
      <c r="D207" s="4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 x14ac:dyDescent="0.15">
      <c r="A208" s="3"/>
      <c r="B208" s="11"/>
      <c r="C208" s="3"/>
      <c r="D208" s="4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 x14ac:dyDescent="0.15">
      <c r="A209" s="3"/>
      <c r="B209" s="11"/>
      <c r="C209" s="3"/>
      <c r="D209" s="4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 x14ac:dyDescent="0.15">
      <c r="A210" s="3"/>
      <c r="B210" s="11"/>
      <c r="C210" s="3"/>
      <c r="D210" s="4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 x14ac:dyDescent="0.15">
      <c r="A211" s="3"/>
      <c r="B211" s="11"/>
      <c r="C211" s="3"/>
      <c r="D211" s="4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 x14ac:dyDescent="0.15">
      <c r="A212" s="3"/>
      <c r="B212" s="11"/>
      <c r="C212" s="3"/>
      <c r="D212" s="4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 x14ac:dyDescent="0.15">
      <c r="A213" s="3"/>
      <c r="B213" s="11"/>
      <c r="C213" s="3"/>
      <c r="D213" s="4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 x14ac:dyDescent="0.15">
      <c r="A214" s="3"/>
      <c r="B214" s="11"/>
      <c r="C214" s="3"/>
      <c r="D214" s="4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 x14ac:dyDescent="0.15">
      <c r="A215" s="3"/>
      <c r="B215" s="11"/>
      <c r="C215" s="3"/>
      <c r="D215" s="4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 x14ac:dyDescent="0.15">
      <c r="A216" s="3"/>
      <c r="B216" s="11"/>
      <c r="C216" s="3"/>
      <c r="D216" s="4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 x14ac:dyDescent="0.15">
      <c r="A217" s="3"/>
      <c r="B217" s="11"/>
      <c r="C217" s="3"/>
      <c r="D217" s="4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 x14ac:dyDescent="0.15">
      <c r="A218" s="3"/>
      <c r="B218" s="11"/>
      <c r="C218" s="3"/>
      <c r="D218" s="4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 x14ac:dyDescent="0.15">
      <c r="A219" s="3"/>
      <c r="B219" s="11"/>
      <c r="C219" s="3"/>
      <c r="D219" s="4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 x14ac:dyDescent="0.15">
      <c r="A220" s="3"/>
      <c r="B220" s="11"/>
      <c r="C220" s="3"/>
      <c r="D220" s="4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 x14ac:dyDescent="0.15">
      <c r="A221" s="3"/>
      <c r="B221" s="11"/>
      <c r="C221" s="3"/>
      <c r="D221" s="4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 x14ac:dyDescent="0.15">
      <c r="A222" s="3"/>
      <c r="B222" s="11"/>
      <c r="C222" s="3"/>
      <c r="D222" s="4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 x14ac:dyDescent="0.15">
      <c r="A223" s="3"/>
      <c r="B223" s="11"/>
      <c r="C223" s="3"/>
      <c r="D223" s="4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 x14ac:dyDescent="0.15">
      <c r="A224" s="3"/>
      <c r="B224" s="11"/>
      <c r="C224" s="3"/>
      <c r="D224" s="4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 x14ac:dyDescent="0.15">
      <c r="A225" s="3"/>
      <c r="B225" s="11"/>
      <c r="C225" s="3"/>
      <c r="D225" s="4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 x14ac:dyDescent="0.15">
      <c r="A226" s="3"/>
      <c r="B226" s="11"/>
      <c r="C226" s="3"/>
      <c r="D226" s="4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 x14ac:dyDescent="0.15">
      <c r="A227" s="3"/>
      <c r="B227" s="11"/>
      <c r="C227" s="3"/>
      <c r="D227" s="4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 x14ac:dyDescent="0.15">
      <c r="A228" s="3"/>
      <c r="B228" s="11"/>
      <c r="C228" s="3"/>
      <c r="D228" s="4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 x14ac:dyDescent="0.15">
      <c r="A229" s="3"/>
      <c r="B229" s="11"/>
      <c r="C229" s="3"/>
      <c r="D229" s="4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 x14ac:dyDescent="0.15">
      <c r="A230" s="3"/>
      <c r="B230" s="11"/>
      <c r="C230" s="3"/>
      <c r="D230" s="4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 x14ac:dyDescent="0.15">
      <c r="A231" s="3"/>
      <c r="B231" s="11"/>
      <c r="C231" s="3"/>
      <c r="D231" s="4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 x14ac:dyDescent="0.15">
      <c r="A232" s="3"/>
      <c r="B232" s="11"/>
      <c r="C232" s="3"/>
      <c r="D232" s="4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 x14ac:dyDescent="0.15">
      <c r="A233" s="3"/>
      <c r="B233" s="11"/>
      <c r="C233" s="3"/>
      <c r="D233" s="4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 x14ac:dyDescent="0.15">
      <c r="A234" s="3"/>
      <c r="B234" s="11"/>
      <c r="C234" s="3"/>
      <c r="D234" s="4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 x14ac:dyDescent="0.15">
      <c r="A235" s="3"/>
      <c r="B235" s="11"/>
      <c r="C235" s="3"/>
      <c r="D235" s="4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 x14ac:dyDescent="0.15">
      <c r="A236" s="3"/>
      <c r="B236" s="11"/>
      <c r="C236" s="3"/>
      <c r="D236" s="4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 x14ac:dyDescent="0.15">
      <c r="A237" s="3"/>
      <c r="B237" s="11"/>
      <c r="C237" s="3"/>
      <c r="D237" s="4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 x14ac:dyDescent="0.15">
      <c r="A238" s="3"/>
      <c r="B238" s="11"/>
      <c r="C238" s="3"/>
      <c r="D238" s="4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 x14ac:dyDescent="0.15">
      <c r="A239" s="3"/>
      <c r="B239" s="11"/>
      <c r="C239" s="3"/>
      <c r="D239" s="4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 x14ac:dyDescent="0.15">
      <c r="A240" s="3"/>
      <c r="B240" s="11"/>
      <c r="C240" s="3"/>
      <c r="D240" s="4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 x14ac:dyDescent="0.15">
      <c r="A241" s="3"/>
      <c r="B241" s="11"/>
      <c r="C241" s="3"/>
      <c r="D241" s="4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 x14ac:dyDescent="0.15">
      <c r="A242" s="3"/>
      <c r="B242" s="11"/>
      <c r="C242" s="3"/>
      <c r="D242" s="4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 x14ac:dyDescent="0.15">
      <c r="A243" s="3"/>
      <c r="B243" s="11"/>
      <c r="C243" s="3"/>
      <c r="D243" s="4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 x14ac:dyDescent="0.15">
      <c r="A244" s="3"/>
      <c r="B244" s="11"/>
      <c r="C244" s="3"/>
      <c r="D244" s="4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 x14ac:dyDescent="0.15">
      <c r="A245" s="3"/>
      <c r="B245" s="11"/>
      <c r="C245" s="3"/>
      <c r="D245" s="4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 x14ac:dyDescent="0.15">
      <c r="A246" s="3"/>
      <c r="B246" s="11"/>
      <c r="C246" s="3"/>
      <c r="D246" s="4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 x14ac:dyDescent="0.15">
      <c r="A247" s="3"/>
      <c r="B247" s="11"/>
      <c r="C247" s="3"/>
      <c r="D247" s="4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 x14ac:dyDescent="0.15">
      <c r="A248" s="3"/>
      <c r="B248" s="11"/>
      <c r="C248" s="3"/>
      <c r="D248" s="4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 x14ac:dyDescent="0.15">
      <c r="A249" s="3"/>
      <c r="B249" s="11"/>
      <c r="C249" s="3"/>
      <c r="D249" s="4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 x14ac:dyDescent="0.15">
      <c r="A250" s="3"/>
      <c r="B250" s="11"/>
      <c r="C250" s="3"/>
      <c r="D250" s="4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 x14ac:dyDescent="0.15">
      <c r="A251" s="3"/>
      <c r="B251" s="11"/>
      <c r="C251" s="3"/>
      <c r="D251" s="4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 x14ac:dyDescent="0.15">
      <c r="A252" s="3"/>
      <c r="B252" s="11"/>
      <c r="C252" s="3"/>
      <c r="D252" s="4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 x14ac:dyDescent="0.15">
      <c r="A253" s="3"/>
      <c r="B253" s="11"/>
      <c r="C253" s="3"/>
      <c r="D253" s="4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 x14ac:dyDescent="0.15">
      <c r="A254" s="3"/>
      <c r="B254" s="11"/>
      <c r="C254" s="3"/>
      <c r="D254" s="4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 x14ac:dyDescent="0.15">
      <c r="A255" s="3"/>
      <c r="B255" s="11"/>
      <c r="C255" s="3"/>
      <c r="D255" s="4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 x14ac:dyDescent="0.15">
      <c r="A256" s="3"/>
      <c r="B256" s="11"/>
      <c r="C256" s="3"/>
      <c r="D256" s="4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 x14ac:dyDescent="0.15">
      <c r="A257" s="3"/>
      <c r="B257" s="11"/>
      <c r="C257" s="3"/>
      <c r="D257" s="4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 x14ac:dyDescent="0.15">
      <c r="A258" s="3"/>
      <c r="B258" s="11"/>
      <c r="C258" s="3"/>
      <c r="D258" s="4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 x14ac:dyDescent="0.15">
      <c r="A259" s="3"/>
      <c r="B259" s="11"/>
      <c r="C259" s="3"/>
      <c r="D259" s="4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 x14ac:dyDescent="0.15">
      <c r="A260" s="3"/>
      <c r="B260" s="11"/>
      <c r="C260" s="3"/>
      <c r="D260" s="4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 x14ac:dyDescent="0.15">
      <c r="A261" s="3"/>
      <c r="B261" s="11"/>
      <c r="C261" s="3"/>
      <c r="D261" s="4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 x14ac:dyDescent="0.15">
      <c r="A262" s="3"/>
      <c r="B262" s="11"/>
      <c r="C262" s="3"/>
      <c r="D262" s="4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 x14ac:dyDescent="0.15">
      <c r="A263" s="3"/>
      <c r="B263" s="11"/>
      <c r="C263" s="3"/>
      <c r="D263" s="4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 x14ac:dyDescent="0.15">
      <c r="A264" s="3"/>
      <c r="B264" s="11"/>
      <c r="C264" s="3"/>
      <c r="D264" s="4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 x14ac:dyDescent="0.15">
      <c r="A265" s="3"/>
      <c r="B265" s="11"/>
      <c r="C265" s="3"/>
      <c r="D265" s="4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 x14ac:dyDescent="0.15">
      <c r="A266" s="3"/>
      <c r="B266" s="11"/>
      <c r="C266" s="3"/>
      <c r="D266" s="4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 x14ac:dyDescent="0.15">
      <c r="A267" s="3"/>
      <c r="B267" s="11"/>
      <c r="C267" s="3"/>
      <c r="D267" s="4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 x14ac:dyDescent="0.15">
      <c r="A268" s="3"/>
      <c r="B268" s="11"/>
      <c r="C268" s="3"/>
      <c r="D268" s="4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 x14ac:dyDescent="0.15">
      <c r="A269" s="3"/>
      <c r="B269" s="11"/>
      <c r="C269" s="3"/>
      <c r="D269" s="4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 x14ac:dyDescent="0.15">
      <c r="A270" s="3"/>
      <c r="B270" s="11"/>
      <c r="C270" s="3"/>
      <c r="D270" s="4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 x14ac:dyDescent="0.15">
      <c r="A271" s="3"/>
      <c r="B271" s="11"/>
      <c r="C271" s="3"/>
      <c r="D271" s="4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 x14ac:dyDescent="0.15">
      <c r="A272" s="3"/>
      <c r="B272" s="11"/>
      <c r="C272" s="3"/>
      <c r="D272" s="4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 x14ac:dyDescent="0.15">
      <c r="A273" s="3"/>
      <c r="B273" s="11"/>
      <c r="C273" s="3"/>
      <c r="D273" s="4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 x14ac:dyDescent="0.15">
      <c r="A274" s="3"/>
      <c r="B274" s="11"/>
      <c r="C274" s="3"/>
      <c r="D274" s="4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 x14ac:dyDescent="0.15">
      <c r="A275" s="3"/>
      <c r="B275" s="11"/>
      <c r="C275" s="3"/>
      <c r="D275" s="4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 x14ac:dyDescent="0.15">
      <c r="A276" s="3"/>
      <c r="B276" s="11"/>
      <c r="C276" s="3"/>
      <c r="D276" s="4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 x14ac:dyDescent="0.15">
      <c r="A277" s="3"/>
      <c r="B277" s="11"/>
      <c r="C277" s="3"/>
      <c r="D277" s="4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 x14ac:dyDescent="0.15">
      <c r="A278" s="3"/>
      <c r="B278" s="11"/>
      <c r="C278" s="3"/>
      <c r="D278" s="4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 x14ac:dyDescent="0.15">
      <c r="A279" s="3"/>
      <c r="B279" s="11"/>
      <c r="C279" s="3"/>
      <c r="D279" s="4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 x14ac:dyDescent="0.15">
      <c r="A280" s="3"/>
      <c r="B280" s="11"/>
      <c r="C280" s="3"/>
      <c r="D280" s="4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 x14ac:dyDescent="0.15">
      <c r="A281" s="3"/>
      <c r="B281" s="11"/>
      <c r="C281" s="3"/>
      <c r="D281" s="4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 x14ac:dyDescent="0.15">
      <c r="A282" s="3"/>
      <c r="B282" s="11"/>
      <c r="C282" s="3"/>
      <c r="D282" s="4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 x14ac:dyDescent="0.15">
      <c r="A283" s="3"/>
      <c r="B283" s="11"/>
      <c r="C283" s="3"/>
      <c r="D283" s="4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 x14ac:dyDescent="0.15">
      <c r="A284" s="3"/>
      <c r="B284" s="11"/>
      <c r="C284" s="3"/>
      <c r="D284" s="4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 x14ac:dyDescent="0.15">
      <c r="A285" s="3"/>
      <c r="B285" s="11"/>
      <c r="C285" s="3"/>
      <c r="D285" s="4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 x14ac:dyDescent="0.15">
      <c r="A286" s="3"/>
      <c r="B286" s="11"/>
      <c r="C286" s="3"/>
      <c r="D286" s="4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 x14ac:dyDescent="0.15">
      <c r="A287" s="3"/>
      <c r="B287" s="11"/>
      <c r="C287" s="3"/>
      <c r="D287" s="4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 x14ac:dyDescent="0.15">
      <c r="A288" s="3"/>
      <c r="B288" s="11"/>
      <c r="C288" s="3"/>
      <c r="D288" s="4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 x14ac:dyDescent="0.15">
      <c r="A289" s="3"/>
      <c r="B289" s="11"/>
      <c r="C289" s="3"/>
      <c r="D289" s="4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 x14ac:dyDescent="0.15">
      <c r="A290" s="3"/>
      <c r="B290" s="11"/>
      <c r="C290" s="3"/>
      <c r="D290" s="4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 x14ac:dyDescent="0.15">
      <c r="A291" s="3"/>
      <c r="B291" s="11"/>
      <c r="C291" s="3"/>
      <c r="D291" s="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 x14ac:dyDescent="0.15">
      <c r="A292" s="3"/>
      <c r="B292" s="11"/>
      <c r="C292" s="3"/>
      <c r="D292" s="4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 x14ac:dyDescent="0.15">
      <c r="A293" s="3"/>
      <c r="B293" s="11"/>
      <c r="C293" s="3"/>
      <c r="D293" s="4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 x14ac:dyDescent="0.15">
      <c r="A294" s="3"/>
      <c r="B294" s="11"/>
      <c r="C294" s="3"/>
      <c r="D294" s="4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 x14ac:dyDescent="0.15">
      <c r="A295" s="3"/>
      <c r="B295" s="11"/>
      <c r="C295" s="3"/>
      <c r="D295" s="4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 x14ac:dyDescent="0.15">
      <c r="A296" s="3"/>
      <c r="B296" s="11"/>
      <c r="C296" s="3"/>
      <c r="D296" s="4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 x14ac:dyDescent="0.15">
      <c r="A297" s="3"/>
      <c r="B297" s="11"/>
      <c r="C297" s="3"/>
      <c r="D297" s="4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 x14ac:dyDescent="0.15">
      <c r="A298" s="3"/>
      <c r="B298" s="11"/>
      <c r="C298" s="3"/>
      <c r="D298" s="4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 x14ac:dyDescent="0.15">
      <c r="A299" s="3"/>
      <c r="B299" s="11"/>
      <c r="C299" s="3"/>
      <c r="D299" s="4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 x14ac:dyDescent="0.15">
      <c r="A300" s="3"/>
      <c r="B300" s="11"/>
      <c r="C300" s="3"/>
      <c r="D300" s="4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 x14ac:dyDescent="0.15">
      <c r="A301" s="3"/>
      <c r="B301" s="11"/>
      <c r="C301" s="3"/>
      <c r="D301" s="4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 x14ac:dyDescent="0.15">
      <c r="A302" s="3"/>
      <c r="B302" s="11"/>
      <c r="C302" s="3"/>
      <c r="D302" s="4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 x14ac:dyDescent="0.15">
      <c r="A303" s="3"/>
      <c r="B303" s="11"/>
      <c r="C303" s="3"/>
      <c r="D303" s="4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 x14ac:dyDescent="0.15">
      <c r="A304" s="3"/>
      <c r="B304" s="11"/>
      <c r="C304" s="3"/>
      <c r="D304" s="4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 x14ac:dyDescent="0.15">
      <c r="A305" s="3"/>
      <c r="B305" s="11"/>
      <c r="C305" s="3"/>
      <c r="D305" s="4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 x14ac:dyDescent="0.15">
      <c r="A306" s="3"/>
      <c r="B306" s="11"/>
      <c r="C306" s="3"/>
      <c r="D306" s="4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 x14ac:dyDescent="0.15">
      <c r="A307" s="3"/>
      <c r="B307" s="11"/>
      <c r="C307" s="3"/>
      <c r="D307" s="4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 x14ac:dyDescent="0.15">
      <c r="A308" s="3"/>
      <c r="B308" s="11"/>
      <c r="C308" s="3"/>
      <c r="D308" s="4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 x14ac:dyDescent="0.15">
      <c r="A309" s="3"/>
      <c r="B309" s="11"/>
      <c r="C309" s="3"/>
      <c r="D309" s="4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 x14ac:dyDescent="0.15">
      <c r="A310" s="3"/>
      <c r="B310" s="11"/>
      <c r="C310" s="3"/>
      <c r="D310" s="4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 x14ac:dyDescent="0.15">
      <c r="A311" s="3"/>
      <c r="B311" s="11"/>
      <c r="C311" s="3"/>
      <c r="D311" s="4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 x14ac:dyDescent="0.15">
      <c r="A312" s="3"/>
      <c r="B312" s="11"/>
      <c r="C312" s="3"/>
      <c r="D312" s="4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 x14ac:dyDescent="0.15">
      <c r="A313" s="3"/>
      <c r="B313" s="11"/>
      <c r="C313" s="3"/>
      <c r="D313" s="4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 x14ac:dyDescent="0.15">
      <c r="A314" s="3"/>
      <c r="B314" s="11"/>
      <c r="C314" s="3"/>
      <c r="D314" s="4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 x14ac:dyDescent="0.15">
      <c r="A315" s="3"/>
      <c r="B315" s="11"/>
      <c r="C315" s="3"/>
      <c r="D315" s="4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 x14ac:dyDescent="0.15">
      <c r="A316" s="3"/>
      <c r="B316" s="11"/>
      <c r="C316" s="3"/>
      <c r="D316" s="4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 x14ac:dyDescent="0.15">
      <c r="A317" s="3"/>
      <c r="B317" s="11"/>
      <c r="C317" s="3"/>
      <c r="D317" s="4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 x14ac:dyDescent="0.15">
      <c r="A318" s="3"/>
      <c r="B318" s="11"/>
      <c r="C318" s="3"/>
      <c r="D318" s="4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 x14ac:dyDescent="0.15">
      <c r="A319" s="3"/>
      <c r="B319" s="11"/>
      <c r="C319" s="3"/>
      <c r="D319" s="4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 x14ac:dyDescent="0.15">
      <c r="A320" s="3"/>
      <c r="B320" s="11"/>
      <c r="C320" s="3"/>
      <c r="D320" s="4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 x14ac:dyDescent="0.15">
      <c r="A321" s="3"/>
      <c r="B321" s="11"/>
      <c r="C321" s="3"/>
      <c r="D321" s="4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 x14ac:dyDescent="0.15">
      <c r="A322" s="3"/>
      <c r="B322" s="11"/>
      <c r="C322" s="3"/>
      <c r="D322" s="4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 x14ac:dyDescent="0.15">
      <c r="A323" s="3"/>
      <c r="B323" s="11"/>
      <c r="C323" s="3"/>
      <c r="D323" s="4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 x14ac:dyDescent="0.15">
      <c r="A324" s="3"/>
      <c r="B324" s="11"/>
      <c r="C324" s="3"/>
      <c r="D324" s="4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 x14ac:dyDescent="0.15">
      <c r="A325" s="3"/>
      <c r="B325" s="11"/>
      <c r="C325" s="3"/>
      <c r="D325" s="4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 x14ac:dyDescent="0.15">
      <c r="A326" s="3"/>
      <c r="B326" s="11"/>
      <c r="C326" s="3"/>
      <c r="D326" s="4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 x14ac:dyDescent="0.15">
      <c r="A327" s="3"/>
      <c r="B327" s="11"/>
      <c r="C327" s="3"/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 x14ac:dyDescent="0.15">
      <c r="A328" s="3"/>
      <c r="B328" s="11"/>
      <c r="C328" s="3"/>
      <c r="D328" s="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 x14ac:dyDescent="0.15">
      <c r="A329" s="3"/>
      <c r="B329" s="11"/>
      <c r="C329" s="3"/>
      <c r="D329" s="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 x14ac:dyDescent="0.15">
      <c r="A330" s="3"/>
      <c r="B330" s="11"/>
      <c r="C330" s="3"/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 x14ac:dyDescent="0.15">
      <c r="A331" s="3"/>
      <c r="B331" s="11"/>
      <c r="C331" s="3"/>
      <c r="D331" s="4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 x14ac:dyDescent="0.15">
      <c r="A332" s="3"/>
      <c r="B332" s="11"/>
      <c r="C332" s="3"/>
      <c r="D332" s="4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 x14ac:dyDescent="0.15">
      <c r="A333" s="3"/>
      <c r="B333" s="11"/>
      <c r="C333" s="3"/>
      <c r="D333" s="4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 x14ac:dyDescent="0.15">
      <c r="A334" s="3"/>
      <c r="B334" s="11"/>
      <c r="C334" s="3"/>
      <c r="D334" s="4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 x14ac:dyDescent="0.15">
      <c r="A335" s="3"/>
      <c r="B335" s="11"/>
      <c r="C335" s="3"/>
      <c r="D335" s="4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 x14ac:dyDescent="0.15">
      <c r="A336" s="3"/>
      <c r="B336" s="11"/>
      <c r="C336" s="3"/>
      <c r="D336" s="4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 x14ac:dyDescent="0.15">
      <c r="A337" s="3"/>
      <c r="B337" s="11"/>
      <c r="C337" s="3"/>
      <c r="D337" s="4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 x14ac:dyDescent="0.15">
      <c r="A338" s="3"/>
      <c r="B338" s="11"/>
      <c r="C338" s="3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 x14ac:dyDescent="0.15">
      <c r="A339" s="3"/>
      <c r="B339" s="11"/>
      <c r="C339" s="3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 x14ac:dyDescent="0.15">
      <c r="A340" s="3"/>
      <c r="B340" s="11"/>
      <c r="C340" s="3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 x14ac:dyDescent="0.15">
      <c r="A341" s="3"/>
      <c r="B341" s="11"/>
      <c r="C341" s="3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 x14ac:dyDescent="0.15">
      <c r="A342" s="3"/>
      <c r="B342" s="11"/>
      <c r="C342" s="3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 x14ac:dyDescent="0.15">
      <c r="A343" s="3"/>
      <c r="B343" s="11"/>
      <c r="C343" s="3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 x14ac:dyDescent="0.15">
      <c r="A344" s="3"/>
      <c r="B344" s="11"/>
      <c r="C344" s="3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 x14ac:dyDescent="0.15">
      <c r="A345" s="3"/>
      <c r="B345" s="11"/>
      <c r="C345" s="3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 x14ac:dyDescent="0.15">
      <c r="A346" s="3"/>
      <c r="B346" s="11"/>
      <c r="C346" s="3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 x14ac:dyDescent="0.15">
      <c r="A347" s="3"/>
      <c r="B347" s="11"/>
      <c r="C347" s="3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 x14ac:dyDescent="0.15">
      <c r="A348" s="3"/>
      <c r="B348" s="11"/>
      <c r="C348" s="3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 x14ac:dyDescent="0.15">
      <c r="A349" s="3"/>
      <c r="B349" s="11"/>
      <c r="C349" s="3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 x14ac:dyDescent="0.15">
      <c r="A350" s="3"/>
      <c r="B350" s="11"/>
      <c r="C350" s="3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 x14ac:dyDescent="0.15">
      <c r="A351" s="3"/>
      <c r="B351" s="11"/>
      <c r="C351" s="3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 x14ac:dyDescent="0.15">
      <c r="A352" s="3"/>
      <c r="B352" s="11"/>
      <c r="C352" s="3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 x14ac:dyDescent="0.15">
      <c r="A353" s="3"/>
      <c r="B353" s="11"/>
      <c r="C353" s="3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 x14ac:dyDescent="0.15">
      <c r="A354" s="3"/>
      <c r="B354" s="11"/>
      <c r="C354" s="3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 x14ac:dyDescent="0.15">
      <c r="A355" s="3"/>
      <c r="B355" s="11"/>
      <c r="C355" s="3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 x14ac:dyDescent="0.15">
      <c r="A356" s="3"/>
      <c r="B356" s="11"/>
      <c r="C356" s="3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 x14ac:dyDescent="0.15">
      <c r="A357" s="3"/>
      <c r="B357" s="11"/>
      <c r="C357" s="3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 x14ac:dyDescent="0.15">
      <c r="A358" s="3"/>
      <c r="B358" s="11"/>
      <c r="C358" s="3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 x14ac:dyDescent="0.15">
      <c r="A359" s="3"/>
      <c r="B359" s="11"/>
      <c r="C359" s="3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 x14ac:dyDescent="0.15">
      <c r="A360" s="3"/>
      <c r="B360" s="11"/>
      <c r="C360" s="3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 x14ac:dyDescent="0.15">
      <c r="A361" s="3"/>
      <c r="B361" s="11"/>
      <c r="C361" s="3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 x14ac:dyDescent="0.15">
      <c r="A362" s="3"/>
      <c r="B362" s="11"/>
      <c r="C362" s="3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 x14ac:dyDescent="0.15">
      <c r="A363" s="3"/>
      <c r="B363" s="11"/>
      <c r="C363" s="3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 x14ac:dyDescent="0.15">
      <c r="A364" s="3"/>
      <c r="B364" s="11"/>
      <c r="C364" s="3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 x14ac:dyDescent="0.15">
      <c r="A365" s="3"/>
      <c r="B365" s="11"/>
      <c r="C365" s="3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 x14ac:dyDescent="0.15">
      <c r="A366" s="3"/>
      <c r="B366" s="11"/>
      <c r="C366" s="3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 x14ac:dyDescent="0.15">
      <c r="A367" s="3"/>
      <c r="B367" s="11"/>
      <c r="C367" s="3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 x14ac:dyDescent="0.15">
      <c r="A368" s="3"/>
      <c r="B368" s="11"/>
      <c r="C368" s="3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 x14ac:dyDescent="0.15">
      <c r="A369" s="3"/>
      <c r="B369" s="11"/>
      <c r="C369" s="3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 x14ac:dyDescent="0.15">
      <c r="A370" s="3"/>
      <c r="B370" s="11"/>
      <c r="C370" s="3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 x14ac:dyDescent="0.15">
      <c r="A371" s="3"/>
      <c r="B371" s="11"/>
      <c r="C371" s="3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 x14ac:dyDescent="0.15">
      <c r="A372" s="3"/>
      <c r="B372" s="11"/>
      <c r="C372" s="3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 x14ac:dyDescent="0.15">
      <c r="A373" s="3"/>
      <c r="B373" s="11"/>
      <c r="C373" s="3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 x14ac:dyDescent="0.15">
      <c r="A374" s="3"/>
      <c r="B374" s="11"/>
      <c r="C374" s="3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 x14ac:dyDescent="0.15">
      <c r="A375" s="3"/>
      <c r="B375" s="11"/>
      <c r="C375" s="3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 x14ac:dyDescent="0.15">
      <c r="A376" s="3"/>
      <c r="B376" s="11"/>
      <c r="C376" s="3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 x14ac:dyDescent="0.15">
      <c r="A377" s="3"/>
      <c r="B377" s="11"/>
      <c r="C377" s="3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 x14ac:dyDescent="0.15">
      <c r="A378" s="3"/>
      <c r="B378" s="11"/>
      <c r="C378" s="3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 x14ac:dyDescent="0.15">
      <c r="A379" s="3"/>
      <c r="B379" s="11"/>
      <c r="C379" s="3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 x14ac:dyDescent="0.15">
      <c r="A380" s="3"/>
      <c r="B380" s="11"/>
      <c r="C380" s="3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 x14ac:dyDescent="0.15">
      <c r="A381" s="3"/>
      <c r="B381" s="11"/>
      <c r="C381" s="3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 x14ac:dyDescent="0.15">
      <c r="A382" s="3"/>
      <c r="B382" s="11"/>
      <c r="C382" s="3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 x14ac:dyDescent="0.15">
      <c r="A383" s="3"/>
      <c r="B383" s="11"/>
      <c r="C383" s="3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 x14ac:dyDescent="0.15">
      <c r="A384" s="3"/>
      <c r="B384" s="11"/>
      <c r="C384" s="3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 x14ac:dyDescent="0.15">
      <c r="A385" s="3"/>
      <c r="B385" s="11"/>
      <c r="C385" s="3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 x14ac:dyDescent="0.15">
      <c r="A386" s="3"/>
      <c r="B386" s="11"/>
      <c r="C386" s="3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 x14ac:dyDescent="0.15">
      <c r="A387" s="3"/>
      <c r="B387" s="11"/>
      <c r="C387" s="3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 x14ac:dyDescent="0.15">
      <c r="A388" s="3"/>
      <c r="B388" s="11"/>
      <c r="C388" s="3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 x14ac:dyDescent="0.15">
      <c r="A389" s="3"/>
      <c r="B389" s="11"/>
      <c r="C389" s="3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 x14ac:dyDescent="0.15">
      <c r="A390" s="3"/>
      <c r="B390" s="11"/>
      <c r="C390" s="3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 x14ac:dyDescent="0.15">
      <c r="A391" s="3"/>
      <c r="B391" s="11"/>
      <c r="C391" s="3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 x14ac:dyDescent="0.15">
      <c r="A392" s="3"/>
      <c r="B392" s="11"/>
      <c r="C392" s="3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 x14ac:dyDescent="0.15">
      <c r="A393" s="3"/>
      <c r="B393" s="11"/>
      <c r="C393" s="3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 x14ac:dyDescent="0.15">
      <c r="A394" s="3"/>
      <c r="B394" s="11"/>
      <c r="C394" s="3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 x14ac:dyDescent="0.15">
      <c r="A395" s="3"/>
      <c r="B395" s="11"/>
      <c r="C395" s="3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 x14ac:dyDescent="0.15">
      <c r="A396" s="3"/>
      <c r="B396" s="11"/>
      <c r="C396" s="3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 x14ac:dyDescent="0.15">
      <c r="A397" s="3"/>
      <c r="B397" s="11"/>
      <c r="C397" s="3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 x14ac:dyDescent="0.15">
      <c r="A398" s="3"/>
      <c r="B398" s="11"/>
      <c r="C398" s="3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 x14ac:dyDescent="0.15">
      <c r="A399" s="3"/>
      <c r="B399" s="11"/>
      <c r="C399" s="3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 x14ac:dyDescent="0.15">
      <c r="A400" s="3"/>
      <c r="B400" s="11"/>
      <c r="C400" s="3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 x14ac:dyDescent="0.15">
      <c r="A401" s="3"/>
      <c r="B401" s="11"/>
      <c r="C401" s="3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 x14ac:dyDescent="0.15">
      <c r="A402" s="3"/>
      <c r="B402" s="11"/>
      <c r="C402" s="3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 x14ac:dyDescent="0.15">
      <c r="A403" s="3"/>
      <c r="B403" s="11"/>
      <c r="C403" s="3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 x14ac:dyDescent="0.15">
      <c r="A404" s="3"/>
      <c r="B404" s="11"/>
      <c r="C404" s="3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 x14ac:dyDescent="0.15">
      <c r="A405" s="3"/>
      <c r="B405" s="11"/>
      <c r="C405" s="3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 x14ac:dyDescent="0.15">
      <c r="A406" s="3"/>
      <c r="B406" s="11"/>
      <c r="C406" s="3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 x14ac:dyDescent="0.15">
      <c r="A407" s="3"/>
      <c r="B407" s="11"/>
      <c r="C407" s="3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 x14ac:dyDescent="0.15">
      <c r="A408" s="3"/>
      <c r="B408" s="11"/>
      <c r="C408" s="3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 x14ac:dyDescent="0.15">
      <c r="A409" s="3"/>
      <c r="B409" s="11"/>
      <c r="C409" s="3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 x14ac:dyDescent="0.15">
      <c r="A410" s="3"/>
      <c r="B410" s="11"/>
      <c r="C410" s="3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 x14ac:dyDescent="0.15">
      <c r="A411" s="3"/>
      <c r="B411" s="11"/>
      <c r="C411" s="3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 x14ac:dyDescent="0.15">
      <c r="A412" s="3"/>
      <c r="B412" s="11"/>
      <c r="C412" s="3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 x14ac:dyDescent="0.15">
      <c r="A413" s="3"/>
      <c r="B413" s="11"/>
      <c r="C413" s="3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 x14ac:dyDescent="0.15">
      <c r="A414" s="3"/>
      <c r="B414" s="11"/>
      <c r="C414" s="3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 x14ac:dyDescent="0.15">
      <c r="A415" s="3"/>
      <c r="B415" s="11"/>
      <c r="C415" s="3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 x14ac:dyDescent="0.15">
      <c r="A416" s="3"/>
      <c r="B416" s="11"/>
      <c r="C416" s="3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 x14ac:dyDescent="0.15">
      <c r="A417" s="3"/>
      <c r="B417" s="11"/>
      <c r="C417" s="3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 x14ac:dyDescent="0.15">
      <c r="A418" s="3"/>
      <c r="B418" s="11"/>
      <c r="C418" s="3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 x14ac:dyDescent="0.15">
      <c r="A419" s="3"/>
      <c r="B419" s="11"/>
      <c r="C419" s="3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 x14ac:dyDescent="0.15">
      <c r="A420" s="3"/>
      <c r="B420" s="11"/>
      <c r="C420" s="3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 x14ac:dyDescent="0.15">
      <c r="A421" s="3"/>
      <c r="B421" s="11"/>
      <c r="C421" s="3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 x14ac:dyDescent="0.15">
      <c r="A422" s="3"/>
      <c r="B422" s="11"/>
      <c r="C422" s="3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 x14ac:dyDescent="0.15">
      <c r="A423" s="3"/>
      <c r="B423" s="11"/>
      <c r="C423" s="3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 x14ac:dyDescent="0.15">
      <c r="A424" s="3"/>
      <c r="B424" s="11"/>
      <c r="C424" s="3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 x14ac:dyDescent="0.15">
      <c r="A425" s="3"/>
      <c r="B425" s="11"/>
      <c r="C425" s="3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 x14ac:dyDescent="0.15">
      <c r="A426" s="3"/>
      <c r="B426" s="11"/>
      <c r="C426" s="3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 x14ac:dyDescent="0.15">
      <c r="A427" s="3"/>
      <c r="B427" s="11"/>
      <c r="C427" s="3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 x14ac:dyDescent="0.15">
      <c r="A428" s="3"/>
      <c r="B428" s="11"/>
      <c r="C428" s="3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 x14ac:dyDescent="0.15">
      <c r="A429" s="3"/>
      <c r="B429" s="11"/>
      <c r="C429" s="3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 x14ac:dyDescent="0.15">
      <c r="A430" s="3"/>
      <c r="B430" s="11"/>
      <c r="C430" s="3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 x14ac:dyDescent="0.15">
      <c r="A431" s="3"/>
      <c r="B431" s="11"/>
      <c r="C431" s="3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 x14ac:dyDescent="0.15">
      <c r="A432" s="3"/>
      <c r="B432" s="11"/>
      <c r="C432" s="3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 x14ac:dyDescent="0.15">
      <c r="A433" s="3"/>
      <c r="B433" s="11"/>
      <c r="C433" s="3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 x14ac:dyDescent="0.15">
      <c r="A434" s="3"/>
      <c r="B434" s="11"/>
      <c r="C434" s="3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 x14ac:dyDescent="0.15">
      <c r="A435" s="3"/>
      <c r="B435" s="11"/>
      <c r="C435" s="3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 x14ac:dyDescent="0.15">
      <c r="A436" s="3"/>
      <c r="B436" s="11"/>
      <c r="C436" s="3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 x14ac:dyDescent="0.15">
      <c r="A437" s="3"/>
      <c r="B437" s="11"/>
      <c r="C437" s="3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 x14ac:dyDescent="0.15">
      <c r="A438" s="3"/>
      <c r="B438" s="11"/>
      <c r="C438" s="3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 x14ac:dyDescent="0.15">
      <c r="A439" s="3"/>
      <c r="B439" s="11"/>
      <c r="C439" s="3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 x14ac:dyDescent="0.15">
      <c r="A440" s="3"/>
      <c r="B440" s="11"/>
      <c r="C440" s="3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 x14ac:dyDescent="0.15">
      <c r="A441" s="3"/>
      <c r="B441" s="11"/>
      <c r="C441" s="3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 x14ac:dyDescent="0.15">
      <c r="A442" s="3"/>
      <c r="B442" s="11"/>
      <c r="C442" s="3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 x14ac:dyDescent="0.15">
      <c r="A443" s="3"/>
      <c r="B443" s="11"/>
      <c r="C443" s="3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 x14ac:dyDescent="0.15">
      <c r="A444" s="3"/>
      <c r="B444" s="11"/>
      <c r="C444" s="3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 x14ac:dyDescent="0.15">
      <c r="A445" s="3"/>
      <c r="B445" s="11"/>
      <c r="C445" s="3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 x14ac:dyDescent="0.15">
      <c r="A446" s="3"/>
      <c r="B446" s="11"/>
      <c r="C446" s="3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 x14ac:dyDescent="0.15">
      <c r="A447" s="3"/>
      <c r="B447" s="11"/>
      <c r="C447" s="3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 x14ac:dyDescent="0.15">
      <c r="A448" s="3"/>
      <c r="B448" s="11"/>
      <c r="C448" s="3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 x14ac:dyDescent="0.15">
      <c r="A449" s="3"/>
      <c r="B449" s="11"/>
      <c r="C449" s="3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 x14ac:dyDescent="0.15">
      <c r="A450" s="3"/>
      <c r="B450" s="11"/>
      <c r="C450" s="3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 x14ac:dyDescent="0.15">
      <c r="A451" s="3"/>
      <c r="B451" s="11"/>
      <c r="C451" s="3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 x14ac:dyDescent="0.15">
      <c r="A452" s="3"/>
      <c r="B452" s="11"/>
      <c r="C452" s="3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 x14ac:dyDescent="0.15">
      <c r="A453" s="3"/>
      <c r="B453" s="11"/>
      <c r="C453" s="3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 x14ac:dyDescent="0.15">
      <c r="A454" s="3"/>
      <c r="B454" s="11"/>
      <c r="C454" s="3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 x14ac:dyDescent="0.15">
      <c r="A455" s="3"/>
      <c r="B455" s="11"/>
      <c r="C455" s="3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 x14ac:dyDescent="0.15">
      <c r="A456" s="3"/>
      <c r="B456" s="11"/>
      <c r="C456" s="3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 x14ac:dyDescent="0.15">
      <c r="A457" s="3"/>
      <c r="B457" s="11"/>
      <c r="C457" s="3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 x14ac:dyDescent="0.15">
      <c r="A458" s="3"/>
      <c r="B458" s="11"/>
      <c r="C458" s="3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 x14ac:dyDescent="0.15">
      <c r="A459" s="3"/>
      <c r="B459" s="11"/>
      <c r="C459" s="3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 x14ac:dyDescent="0.15">
      <c r="A460" s="3"/>
      <c r="B460" s="11"/>
      <c r="C460" s="3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 x14ac:dyDescent="0.15">
      <c r="A461" s="3"/>
      <c r="B461" s="11"/>
      <c r="C461" s="3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 x14ac:dyDescent="0.15">
      <c r="A462" s="3"/>
      <c r="B462" s="11"/>
      <c r="C462" s="3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 x14ac:dyDescent="0.15">
      <c r="A463" s="3"/>
      <c r="B463" s="11"/>
      <c r="C463" s="3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 x14ac:dyDescent="0.15">
      <c r="A464" s="3"/>
      <c r="B464" s="11"/>
      <c r="C464" s="3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 x14ac:dyDescent="0.15">
      <c r="A465" s="3"/>
      <c r="B465" s="11"/>
      <c r="C465" s="3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 x14ac:dyDescent="0.15">
      <c r="A466" s="3"/>
      <c r="B466" s="11"/>
      <c r="C466" s="3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 x14ac:dyDescent="0.15">
      <c r="A467" s="3"/>
      <c r="B467" s="11"/>
      <c r="C467" s="3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 x14ac:dyDescent="0.15">
      <c r="A468" s="3"/>
      <c r="B468" s="11"/>
      <c r="C468" s="3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 x14ac:dyDescent="0.15">
      <c r="A469" s="3"/>
      <c r="B469" s="11"/>
      <c r="C469" s="3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 x14ac:dyDescent="0.15">
      <c r="A470" s="3"/>
      <c r="B470" s="11"/>
      <c r="C470" s="3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 x14ac:dyDescent="0.15">
      <c r="A471" s="3"/>
      <c r="B471" s="11"/>
      <c r="C471" s="3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 x14ac:dyDescent="0.15">
      <c r="A472" s="3"/>
      <c r="B472" s="11"/>
      <c r="C472" s="3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 x14ac:dyDescent="0.15">
      <c r="A473" s="3"/>
      <c r="B473" s="11"/>
      <c r="C473" s="3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 x14ac:dyDescent="0.15">
      <c r="A474" s="3"/>
      <c r="B474" s="11"/>
      <c r="C474" s="3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 x14ac:dyDescent="0.15">
      <c r="A475" s="3"/>
      <c r="B475" s="11"/>
      <c r="C475" s="3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 x14ac:dyDescent="0.15">
      <c r="A476" s="3"/>
      <c r="B476" s="11"/>
      <c r="C476" s="3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 x14ac:dyDescent="0.15">
      <c r="A477" s="3"/>
      <c r="B477" s="11"/>
      <c r="C477" s="3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 x14ac:dyDescent="0.15">
      <c r="A478" s="3"/>
      <c r="B478" s="11"/>
      <c r="C478" s="3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 x14ac:dyDescent="0.15">
      <c r="A479" s="3"/>
      <c r="B479" s="11"/>
      <c r="C479" s="3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 x14ac:dyDescent="0.15">
      <c r="A480" s="3"/>
      <c r="B480" s="11"/>
      <c r="C480" s="3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 x14ac:dyDescent="0.15">
      <c r="A481" s="3"/>
      <c r="B481" s="11"/>
      <c r="C481" s="3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 x14ac:dyDescent="0.15">
      <c r="A482" s="3"/>
      <c r="B482" s="11"/>
      <c r="C482" s="3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 x14ac:dyDescent="0.15">
      <c r="A483" s="3"/>
      <c r="B483" s="11"/>
      <c r="C483" s="3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 x14ac:dyDescent="0.15">
      <c r="A484" s="3"/>
      <c r="B484" s="11"/>
      <c r="C484" s="3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 x14ac:dyDescent="0.15">
      <c r="A485" s="3"/>
      <c r="B485" s="11"/>
      <c r="C485" s="3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 x14ac:dyDescent="0.15">
      <c r="A486" s="3"/>
      <c r="B486" s="11"/>
      <c r="C486" s="3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 x14ac:dyDescent="0.15">
      <c r="A487" s="3"/>
      <c r="B487" s="11"/>
      <c r="C487" s="3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 x14ac:dyDescent="0.15">
      <c r="A488" s="3"/>
      <c r="B488" s="11"/>
      <c r="C488" s="3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 x14ac:dyDescent="0.15">
      <c r="A489" s="3"/>
      <c r="B489" s="11"/>
      <c r="C489" s="3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 x14ac:dyDescent="0.15">
      <c r="A490" s="3"/>
      <c r="B490" s="11"/>
      <c r="C490" s="3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 x14ac:dyDescent="0.15">
      <c r="A491" s="3"/>
      <c r="B491" s="11"/>
      <c r="C491" s="3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 x14ac:dyDescent="0.15">
      <c r="A492" s="3"/>
      <c r="B492" s="11"/>
      <c r="C492" s="3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 x14ac:dyDescent="0.15">
      <c r="A493" s="3"/>
      <c r="B493" s="11"/>
      <c r="C493" s="3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 x14ac:dyDescent="0.15">
      <c r="A494" s="3"/>
      <c r="B494" s="11"/>
      <c r="C494" s="3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 x14ac:dyDescent="0.15">
      <c r="A495" s="3"/>
      <c r="B495" s="11"/>
      <c r="C495" s="3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 x14ac:dyDescent="0.15">
      <c r="A496" s="3"/>
      <c r="B496" s="11"/>
      <c r="C496" s="3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 x14ac:dyDescent="0.15">
      <c r="A497" s="3"/>
      <c r="B497" s="11"/>
      <c r="C497" s="3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 x14ac:dyDescent="0.15">
      <c r="A498" s="3"/>
      <c r="B498" s="11"/>
      <c r="C498" s="3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 x14ac:dyDescent="0.15">
      <c r="A499" s="3"/>
      <c r="B499" s="11"/>
      <c r="C499" s="3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 x14ac:dyDescent="0.15">
      <c r="A500" s="3"/>
      <c r="B500" s="11"/>
      <c r="C500" s="3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 x14ac:dyDescent="0.15">
      <c r="A501" s="3"/>
      <c r="B501" s="11"/>
      <c r="C501" s="3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 x14ac:dyDescent="0.15">
      <c r="A502" s="3"/>
      <c r="B502" s="11"/>
      <c r="C502" s="3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 x14ac:dyDescent="0.15">
      <c r="A503" s="3"/>
      <c r="B503" s="11"/>
      <c r="C503" s="3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 x14ac:dyDescent="0.15">
      <c r="A504" s="3"/>
      <c r="B504" s="11"/>
      <c r="C504" s="3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 x14ac:dyDescent="0.15">
      <c r="A505" s="3"/>
      <c r="B505" s="11"/>
      <c r="C505" s="3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 x14ac:dyDescent="0.15">
      <c r="A506" s="3"/>
      <c r="B506" s="11"/>
      <c r="C506" s="3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 x14ac:dyDescent="0.15">
      <c r="A507" s="3"/>
      <c r="B507" s="11"/>
      <c r="C507" s="3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 x14ac:dyDescent="0.15">
      <c r="A508" s="3"/>
      <c r="B508" s="11"/>
      <c r="C508" s="3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 x14ac:dyDescent="0.15">
      <c r="A509" s="3"/>
      <c r="B509" s="11"/>
      <c r="C509" s="3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 x14ac:dyDescent="0.15">
      <c r="A510" s="3"/>
      <c r="B510" s="11"/>
      <c r="C510" s="3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 x14ac:dyDescent="0.15">
      <c r="A511" s="3"/>
      <c r="B511" s="11"/>
      <c r="C511" s="3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 x14ac:dyDescent="0.15">
      <c r="A512" s="3"/>
      <c r="B512" s="11"/>
      <c r="C512" s="3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 x14ac:dyDescent="0.15">
      <c r="A513" s="3"/>
      <c r="B513" s="11"/>
      <c r="C513" s="3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 x14ac:dyDescent="0.15">
      <c r="A514" s="3"/>
      <c r="B514" s="11"/>
      <c r="C514" s="3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 x14ac:dyDescent="0.15">
      <c r="A515" s="3"/>
      <c r="B515" s="11"/>
      <c r="C515" s="3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 x14ac:dyDescent="0.15">
      <c r="A516" s="3"/>
      <c r="B516" s="11"/>
      <c r="C516" s="3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 x14ac:dyDescent="0.15">
      <c r="A517" s="3"/>
      <c r="B517" s="11"/>
      <c r="C517" s="3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 x14ac:dyDescent="0.15">
      <c r="A518" s="3"/>
      <c r="B518" s="11"/>
      <c r="C518" s="3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 x14ac:dyDescent="0.15">
      <c r="A519" s="3"/>
      <c r="B519" s="11"/>
      <c r="C519" s="3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 x14ac:dyDescent="0.15">
      <c r="A520" s="3"/>
      <c r="B520" s="11"/>
      <c r="C520" s="3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 x14ac:dyDescent="0.15">
      <c r="A521" s="3"/>
      <c r="B521" s="11"/>
      <c r="C521" s="3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 x14ac:dyDescent="0.15">
      <c r="A522" s="3"/>
      <c r="B522" s="11"/>
      <c r="C522" s="3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 x14ac:dyDescent="0.15">
      <c r="A523" s="3"/>
      <c r="B523" s="11"/>
      <c r="C523" s="3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 x14ac:dyDescent="0.15">
      <c r="A524" s="3"/>
      <c r="B524" s="11"/>
      <c r="C524" s="3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 x14ac:dyDescent="0.15">
      <c r="A525" s="3"/>
      <c r="B525" s="11"/>
      <c r="C525" s="3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 x14ac:dyDescent="0.15">
      <c r="A526" s="3"/>
      <c r="B526" s="11"/>
      <c r="C526" s="3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 x14ac:dyDescent="0.15">
      <c r="A527" s="3"/>
      <c r="B527" s="11"/>
      <c r="C527" s="3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 x14ac:dyDescent="0.15">
      <c r="A528" s="3"/>
      <c r="B528" s="11"/>
      <c r="C528" s="3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 x14ac:dyDescent="0.15">
      <c r="A529" s="3"/>
      <c r="B529" s="11"/>
      <c r="C529" s="3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 x14ac:dyDescent="0.15">
      <c r="A530" s="3"/>
      <c r="B530" s="11"/>
      <c r="C530" s="3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 x14ac:dyDescent="0.15">
      <c r="A531" s="3"/>
      <c r="B531" s="11"/>
      <c r="C531" s="3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 x14ac:dyDescent="0.15">
      <c r="A532" s="3"/>
      <c r="B532" s="11"/>
      <c r="C532" s="3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 x14ac:dyDescent="0.15">
      <c r="A533" s="3"/>
      <c r="B533" s="11"/>
      <c r="C533" s="3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 x14ac:dyDescent="0.15">
      <c r="A534" s="3"/>
      <c r="B534" s="11"/>
      <c r="C534" s="3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 x14ac:dyDescent="0.15">
      <c r="A535" s="3"/>
      <c r="B535" s="11"/>
      <c r="C535" s="3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 x14ac:dyDescent="0.15">
      <c r="A536" s="3"/>
      <c r="B536" s="11"/>
      <c r="C536" s="3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 x14ac:dyDescent="0.15">
      <c r="A537" s="3"/>
      <c r="B537" s="11"/>
      <c r="C537" s="3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 x14ac:dyDescent="0.15">
      <c r="A538" s="3"/>
      <c r="B538" s="11"/>
      <c r="C538" s="3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 x14ac:dyDescent="0.15">
      <c r="A539" s="3"/>
      <c r="B539" s="11"/>
      <c r="C539" s="3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 x14ac:dyDescent="0.15">
      <c r="A540" s="3"/>
      <c r="B540" s="11"/>
      <c r="C540" s="3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 x14ac:dyDescent="0.15">
      <c r="A541" s="3"/>
      <c r="B541" s="11"/>
      <c r="C541" s="3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 x14ac:dyDescent="0.15">
      <c r="A542" s="3"/>
      <c r="B542" s="11"/>
      <c r="C542" s="3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 x14ac:dyDescent="0.15">
      <c r="A543" s="3"/>
      <c r="B543" s="11"/>
      <c r="C543" s="3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 x14ac:dyDescent="0.15">
      <c r="A544" s="3"/>
      <c r="B544" s="11"/>
      <c r="C544" s="3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 x14ac:dyDescent="0.15">
      <c r="A545" s="3"/>
      <c r="B545" s="11"/>
      <c r="C545" s="3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 x14ac:dyDescent="0.15">
      <c r="A546" s="3"/>
      <c r="B546" s="11"/>
      <c r="C546" s="3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 x14ac:dyDescent="0.15">
      <c r="A547" s="3"/>
      <c r="B547" s="11"/>
      <c r="C547" s="3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 x14ac:dyDescent="0.15">
      <c r="A548" s="3"/>
      <c r="B548" s="11"/>
      <c r="C548" s="3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 x14ac:dyDescent="0.15">
      <c r="A549" s="3"/>
      <c r="B549" s="11"/>
      <c r="C549" s="3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 x14ac:dyDescent="0.15">
      <c r="A550" s="3"/>
      <c r="B550" s="11"/>
      <c r="C550" s="3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 x14ac:dyDescent="0.15">
      <c r="A551" s="3"/>
      <c r="B551" s="11"/>
      <c r="C551" s="3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 x14ac:dyDescent="0.15">
      <c r="A552" s="3"/>
      <c r="B552" s="11"/>
      <c r="C552" s="3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 x14ac:dyDescent="0.15">
      <c r="A553" s="3"/>
      <c r="B553" s="11"/>
      <c r="C553" s="3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 x14ac:dyDescent="0.15">
      <c r="A554" s="3"/>
      <c r="B554" s="11"/>
      <c r="C554" s="3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 x14ac:dyDescent="0.15">
      <c r="A555" s="3"/>
      <c r="B555" s="11"/>
      <c r="C555" s="3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 x14ac:dyDescent="0.15">
      <c r="A556" s="3"/>
      <c r="B556" s="11"/>
      <c r="C556" s="3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 x14ac:dyDescent="0.15">
      <c r="A557" s="3"/>
      <c r="B557" s="11"/>
      <c r="C557" s="3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 x14ac:dyDescent="0.15">
      <c r="A558" s="3"/>
      <c r="B558" s="11"/>
      <c r="C558" s="3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 x14ac:dyDescent="0.15">
      <c r="A559" s="3"/>
      <c r="B559" s="11"/>
      <c r="C559" s="3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 x14ac:dyDescent="0.15">
      <c r="A560" s="3"/>
      <c r="B560" s="11"/>
      <c r="C560" s="3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 x14ac:dyDescent="0.15">
      <c r="A561" s="3"/>
      <c r="B561" s="11"/>
      <c r="C561" s="3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 x14ac:dyDescent="0.15">
      <c r="A562" s="3"/>
      <c r="B562" s="11"/>
      <c r="C562" s="3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 x14ac:dyDescent="0.15">
      <c r="A563" s="3"/>
      <c r="B563" s="11"/>
      <c r="C563" s="3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 x14ac:dyDescent="0.15">
      <c r="A564" s="3"/>
      <c r="B564" s="11"/>
      <c r="C564" s="3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 x14ac:dyDescent="0.15">
      <c r="A565" s="3"/>
      <c r="B565" s="11"/>
      <c r="C565" s="3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 x14ac:dyDescent="0.15">
      <c r="A566" s="3"/>
      <c r="B566" s="11"/>
      <c r="C566" s="3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 x14ac:dyDescent="0.15">
      <c r="A567" s="3"/>
      <c r="B567" s="11"/>
      <c r="C567" s="3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 x14ac:dyDescent="0.15">
      <c r="A568" s="3"/>
      <c r="B568" s="11"/>
      <c r="C568" s="3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 x14ac:dyDescent="0.15">
      <c r="A569" s="3"/>
      <c r="B569" s="11"/>
      <c r="C569" s="3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 x14ac:dyDescent="0.15">
      <c r="A570" s="3"/>
      <c r="B570" s="11"/>
      <c r="C570" s="3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 x14ac:dyDescent="0.15">
      <c r="A571" s="3"/>
      <c r="B571" s="11"/>
      <c r="C571" s="3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 x14ac:dyDescent="0.15">
      <c r="A572" s="3"/>
      <c r="B572" s="11"/>
      <c r="C572" s="3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 x14ac:dyDescent="0.15">
      <c r="A573" s="3"/>
      <c r="B573" s="11"/>
      <c r="C573" s="3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 x14ac:dyDescent="0.15">
      <c r="A574" s="3"/>
      <c r="B574" s="11"/>
      <c r="C574" s="3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 x14ac:dyDescent="0.15">
      <c r="A575" s="3"/>
      <c r="B575" s="11"/>
      <c r="C575" s="3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 x14ac:dyDescent="0.15">
      <c r="A576" s="3"/>
      <c r="B576" s="11"/>
      <c r="C576" s="3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 x14ac:dyDescent="0.15">
      <c r="A577" s="3"/>
      <c r="B577" s="11"/>
      <c r="C577" s="3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 x14ac:dyDescent="0.15">
      <c r="A578" s="3"/>
      <c r="B578" s="11"/>
      <c r="C578" s="3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 x14ac:dyDescent="0.15">
      <c r="A579" s="3"/>
      <c r="B579" s="11"/>
      <c r="C579" s="3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 x14ac:dyDescent="0.15">
      <c r="A580" s="3"/>
      <c r="B580" s="11"/>
      <c r="C580" s="3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 x14ac:dyDescent="0.15">
      <c r="A581" s="3"/>
      <c r="B581" s="11"/>
      <c r="C581" s="3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 x14ac:dyDescent="0.15">
      <c r="A582" s="3"/>
      <c r="B582" s="11"/>
      <c r="C582" s="3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 x14ac:dyDescent="0.15">
      <c r="A583" s="3"/>
      <c r="B583" s="11"/>
      <c r="C583" s="3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 x14ac:dyDescent="0.15">
      <c r="A584" s="3"/>
      <c r="B584" s="11"/>
      <c r="C584" s="3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 x14ac:dyDescent="0.15">
      <c r="A585" s="3"/>
      <c r="B585" s="11"/>
      <c r="C585" s="3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 x14ac:dyDescent="0.15">
      <c r="A586" s="3"/>
      <c r="B586" s="11"/>
      <c r="C586" s="3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 x14ac:dyDescent="0.15">
      <c r="A587" s="3"/>
      <c r="B587" s="11"/>
      <c r="C587" s="3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 x14ac:dyDescent="0.15">
      <c r="A588" s="3"/>
      <c r="B588" s="11"/>
      <c r="C588" s="3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 x14ac:dyDescent="0.15">
      <c r="A589" s="3"/>
      <c r="B589" s="11"/>
      <c r="C589" s="3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 x14ac:dyDescent="0.15">
      <c r="A590" s="3"/>
      <c r="B590" s="11"/>
      <c r="C590" s="3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 x14ac:dyDescent="0.15">
      <c r="A591" s="3"/>
      <c r="B591" s="11"/>
      <c r="C591" s="3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 x14ac:dyDescent="0.15">
      <c r="A592" s="3"/>
      <c r="B592" s="11"/>
      <c r="C592" s="3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 x14ac:dyDescent="0.15">
      <c r="A593" s="3"/>
      <c r="B593" s="11"/>
      <c r="C593" s="3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 x14ac:dyDescent="0.15">
      <c r="A594" s="3"/>
      <c r="B594" s="11"/>
      <c r="C594" s="3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 x14ac:dyDescent="0.15">
      <c r="A595" s="3"/>
      <c r="B595" s="11"/>
      <c r="C595" s="3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 x14ac:dyDescent="0.15">
      <c r="A596" s="3"/>
      <c r="B596" s="11"/>
      <c r="C596" s="3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 x14ac:dyDescent="0.15">
      <c r="A597" s="3"/>
      <c r="B597" s="11"/>
      <c r="C597" s="3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 x14ac:dyDescent="0.15">
      <c r="A598" s="3"/>
      <c r="B598" s="11"/>
      <c r="C598" s="3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 x14ac:dyDescent="0.15">
      <c r="A599" s="3"/>
      <c r="B599" s="11"/>
      <c r="C599" s="3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 x14ac:dyDescent="0.15">
      <c r="A600" s="3"/>
      <c r="B600" s="11"/>
      <c r="C600" s="3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 x14ac:dyDescent="0.15">
      <c r="A601" s="3"/>
      <c r="B601" s="11"/>
      <c r="C601" s="3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 x14ac:dyDescent="0.15">
      <c r="A602" s="3"/>
      <c r="B602" s="11"/>
      <c r="C602" s="3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 x14ac:dyDescent="0.15">
      <c r="A603" s="3"/>
      <c r="B603" s="11"/>
      <c r="C603" s="3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 x14ac:dyDescent="0.15">
      <c r="A604" s="3"/>
      <c r="B604" s="11"/>
      <c r="C604" s="3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 x14ac:dyDescent="0.15">
      <c r="A605" s="3"/>
      <c r="B605" s="11"/>
      <c r="C605" s="3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 x14ac:dyDescent="0.15">
      <c r="A606" s="3"/>
      <c r="B606" s="11"/>
      <c r="C606" s="3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 x14ac:dyDescent="0.15">
      <c r="A607" s="3"/>
      <c r="B607" s="11"/>
      <c r="C607" s="3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 x14ac:dyDescent="0.15">
      <c r="A608" s="3"/>
      <c r="B608" s="11"/>
      <c r="C608" s="3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 x14ac:dyDescent="0.15">
      <c r="A609" s="3"/>
      <c r="B609" s="11"/>
      <c r="C609" s="3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 x14ac:dyDescent="0.15">
      <c r="A610" s="3"/>
      <c r="B610" s="11"/>
      <c r="C610" s="3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 x14ac:dyDescent="0.15">
      <c r="A611" s="3"/>
      <c r="B611" s="11"/>
      <c r="C611" s="3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 x14ac:dyDescent="0.15">
      <c r="A612" s="3"/>
      <c r="B612" s="11"/>
      <c r="C612" s="3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 x14ac:dyDescent="0.15">
      <c r="A613" s="3"/>
      <c r="B613" s="11"/>
      <c r="C613" s="3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 x14ac:dyDescent="0.15">
      <c r="A614" s="3"/>
      <c r="B614" s="11"/>
      <c r="C614" s="3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 x14ac:dyDescent="0.15">
      <c r="A615" s="3"/>
      <c r="B615" s="11"/>
      <c r="C615" s="3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 x14ac:dyDescent="0.15">
      <c r="A616" s="3"/>
      <c r="B616" s="11"/>
      <c r="C616" s="3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 x14ac:dyDescent="0.15">
      <c r="A617" s="3"/>
      <c r="B617" s="11"/>
      <c r="C617" s="3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 x14ac:dyDescent="0.15">
      <c r="A618" s="3"/>
      <c r="B618" s="11"/>
      <c r="C618" s="3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 x14ac:dyDescent="0.15">
      <c r="A619" s="3"/>
      <c r="B619" s="11"/>
      <c r="C619" s="3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 x14ac:dyDescent="0.15">
      <c r="A620" s="3"/>
      <c r="B620" s="11"/>
      <c r="C620" s="3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 x14ac:dyDescent="0.15">
      <c r="A621" s="3"/>
      <c r="B621" s="11"/>
      <c r="C621" s="3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 x14ac:dyDescent="0.15">
      <c r="A622" s="3"/>
      <c r="B622" s="11"/>
      <c r="C622" s="3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 x14ac:dyDescent="0.15">
      <c r="A623" s="3"/>
      <c r="B623" s="11"/>
      <c r="C623" s="3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 x14ac:dyDescent="0.15">
      <c r="A624" s="3"/>
      <c r="B624" s="11"/>
      <c r="C624" s="3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 x14ac:dyDescent="0.15">
      <c r="A625" s="3"/>
      <c r="B625" s="11"/>
      <c r="C625" s="3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 x14ac:dyDescent="0.15">
      <c r="A626" s="3"/>
      <c r="B626" s="11"/>
      <c r="C626" s="3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 x14ac:dyDescent="0.15">
      <c r="A627" s="3"/>
      <c r="B627" s="11"/>
      <c r="C627" s="3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 x14ac:dyDescent="0.15">
      <c r="A628" s="3"/>
      <c r="B628" s="11"/>
      <c r="C628" s="3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 x14ac:dyDescent="0.15">
      <c r="A629" s="3"/>
      <c r="B629" s="11"/>
      <c r="C629" s="3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 x14ac:dyDescent="0.15">
      <c r="A630" s="3"/>
      <c r="B630" s="11"/>
      <c r="C630" s="3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 x14ac:dyDescent="0.15">
      <c r="A631" s="3"/>
      <c r="B631" s="11"/>
      <c r="C631" s="3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 x14ac:dyDescent="0.15">
      <c r="A632" s="3"/>
      <c r="B632" s="11"/>
      <c r="C632" s="3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 x14ac:dyDescent="0.15">
      <c r="A633" s="3"/>
      <c r="B633" s="11"/>
      <c r="C633" s="3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 x14ac:dyDescent="0.15">
      <c r="A634" s="3"/>
      <c r="B634" s="11"/>
      <c r="C634" s="3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 x14ac:dyDescent="0.15">
      <c r="A635" s="3"/>
      <c r="B635" s="11"/>
      <c r="C635" s="3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 x14ac:dyDescent="0.15">
      <c r="A636" s="3"/>
      <c r="B636" s="11"/>
      <c r="C636" s="3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 x14ac:dyDescent="0.15">
      <c r="A637" s="3"/>
      <c r="B637" s="11"/>
      <c r="C637" s="3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 x14ac:dyDescent="0.15">
      <c r="A638" s="3"/>
      <c r="B638" s="11"/>
      <c r="C638" s="3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 x14ac:dyDescent="0.15">
      <c r="A639" s="3"/>
      <c r="B639" s="11"/>
      <c r="C639" s="3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 x14ac:dyDescent="0.15">
      <c r="A640" s="3"/>
      <c r="B640" s="11"/>
      <c r="C640" s="3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 x14ac:dyDescent="0.15">
      <c r="A641" s="3"/>
      <c r="B641" s="11"/>
      <c r="C641" s="3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 x14ac:dyDescent="0.15">
      <c r="A642" s="3"/>
      <c r="B642" s="11"/>
      <c r="C642" s="3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 x14ac:dyDescent="0.15">
      <c r="A643" s="3"/>
      <c r="B643" s="11"/>
      <c r="C643" s="3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 x14ac:dyDescent="0.15">
      <c r="A644" s="3"/>
      <c r="B644" s="11"/>
      <c r="C644" s="3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 x14ac:dyDescent="0.15">
      <c r="A645" s="3"/>
      <c r="B645" s="11"/>
      <c r="C645" s="3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 x14ac:dyDescent="0.15">
      <c r="A646" s="3"/>
      <c r="B646" s="11"/>
      <c r="C646" s="3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 x14ac:dyDescent="0.15">
      <c r="A647" s="3"/>
      <c r="B647" s="11"/>
      <c r="C647" s="3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 x14ac:dyDescent="0.15">
      <c r="A648" s="3"/>
      <c r="B648" s="11"/>
      <c r="C648" s="3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 x14ac:dyDescent="0.15">
      <c r="A649" s="3"/>
      <c r="B649" s="11"/>
      <c r="C649" s="3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 x14ac:dyDescent="0.15">
      <c r="A650" s="3"/>
      <c r="B650" s="11"/>
      <c r="C650" s="3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 x14ac:dyDescent="0.15">
      <c r="A651" s="3"/>
      <c r="B651" s="11"/>
      <c r="C651" s="3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 x14ac:dyDescent="0.15">
      <c r="A652" s="3"/>
      <c r="B652" s="11"/>
      <c r="C652" s="3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 x14ac:dyDescent="0.15">
      <c r="A653" s="3"/>
      <c r="B653" s="11"/>
      <c r="C653" s="3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 x14ac:dyDescent="0.15">
      <c r="A654" s="3"/>
      <c r="B654" s="11"/>
      <c r="C654" s="3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 x14ac:dyDescent="0.15">
      <c r="A655" s="3"/>
      <c r="B655" s="11"/>
      <c r="C655" s="3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 x14ac:dyDescent="0.15">
      <c r="A656" s="3"/>
      <c r="B656" s="11"/>
      <c r="C656" s="3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 x14ac:dyDescent="0.15">
      <c r="A657" s="3"/>
      <c r="B657" s="11"/>
      <c r="C657" s="3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 x14ac:dyDescent="0.15">
      <c r="A658" s="3"/>
      <c r="B658" s="11"/>
      <c r="C658" s="3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 x14ac:dyDescent="0.15">
      <c r="A659" s="3"/>
      <c r="B659" s="11"/>
      <c r="C659" s="3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 x14ac:dyDescent="0.15">
      <c r="A660" s="3"/>
      <c r="B660" s="11"/>
      <c r="C660" s="3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 x14ac:dyDescent="0.15">
      <c r="A661" s="3"/>
      <c r="B661" s="11"/>
      <c r="C661" s="3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 x14ac:dyDescent="0.15">
      <c r="A662" s="3"/>
      <c r="B662" s="11"/>
      <c r="C662" s="3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 x14ac:dyDescent="0.15">
      <c r="A663" s="3"/>
      <c r="B663" s="11"/>
      <c r="C663" s="3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 x14ac:dyDescent="0.15">
      <c r="A664" s="3"/>
      <c r="B664" s="11"/>
      <c r="C664" s="3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 x14ac:dyDescent="0.15">
      <c r="A665" s="3"/>
      <c r="B665" s="11"/>
      <c r="C665" s="3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 x14ac:dyDescent="0.15">
      <c r="A666" s="3"/>
      <c r="B666" s="11"/>
      <c r="C666" s="3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 x14ac:dyDescent="0.15">
      <c r="A667" s="3"/>
      <c r="B667" s="11"/>
      <c r="C667" s="3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 x14ac:dyDescent="0.15">
      <c r="A668" s="3"/>
      <c r="B668" s="11"/>
      <c r="C668" s="3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 x14ac:dyDescent="0.15">
      <c r="A669" s="3"/>
      <c r="B669" s="11"/>
      <c r="C669" s="3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 x14ac:dyDescent="0.15">
      <c r="A670" s="3"/>
      <c r="B670" s="11"/>
      <c r="C670" s="3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 x14ac:dyDescent="0.15">
      <c r="A671" s="3"/>
      <c r="B671" s="11"/>
      <c r="C671" s="3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 x14ac:dyDescent="0.15">
      <c r="A672" s="3"/>
      <c r="B672" s="11"/>
      <c r="C672" s="3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 x14ac:dyDescent="0.15">
      <c r="A673" s="3"/>
      <c r="B673" s="11"/>
      <c r="C673" s="3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 x14ac:dyDescent="0.15">
      <c r="A674" s="3"/>
      <c r="B674" s="11"/>
      <c r="C674" s="3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 x14ac:dyDescent="0.15">
      <c r="A675" s="3"/>
      <c r="B675" s="11"/>
      <c r="C675" s="3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 x14ac:dyDescent="0.15">
      <c r="A676" s="3"/>
      <c r="B676" s="11"/>
      <c r="C676" s="3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 x14ac:dyDescent="0.15">
      <c r="A677" s="3"/>
      <c r="B677" s="11"/>
      <c r="C677" s="3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 x14ac:dyDescent="0.15">
      <c r="A678" s="3"/>
      <c r="B678" s="11"/>
      <c r="C678" s="3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 x14ac:dyDescent="0.15">
      <c r="A679" s="3"/>
      <c r="B679" s="11"/>
      <c r="C679" s="3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 x14ac:dyDescent="0.15">
      <c r="A680" s="3"/>
      <c r="B680" s="11"/>
      <c r="C680" s="3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 x14ac:dyDescent="0.15">
      <c r="A681" s="3"/>
      <c r="B681" s="11"/>
      <c r="C681" s="3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 x14ac:dyDescent="0.15">
      <c r="A682" s="3"/>
      <c r="B682" s="11"/>
      <c r="C682" s="3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 x14ac:dyDescent="0.15">
      <c r="A683" s="3"/>
      <c r="B683" s="11"/>
      <c r="C683" s="3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 x14ac:dyDescent="0.15">
      <c r="A684" s="3"/>
      <c r="B684" s="11"/>
      <c r="C684" s="3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 x14ac:dyDescent="0.15">
      <c r="A685" s="3"/>
      <c r="B685" s="11"/>
      <c r="C685" s="3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 x14ac:dyDescent="0.15">
      <c r="A686" s="3"/>
      <c r="B686" s="11"/>
      <c r="C686" s="3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 x14ac:dyDescent="0.15">
      <c r="A687" s="3"/>
      <c r="B687" s="11"/>
      <c r="C687" s="3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 x14ac:dyDescent="0.15">
      <c r="A688" s="3"/>
      <c r="B688" s="11"/>
      <c r="C688" s="3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 x14ac:dyDescent="0.15">
      <c r="A689" s="3"/>
      <c r="B689" s="11"/>
      <c r="C689" s="3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 x14ac:dyDescent="0.15">
      <c r="A690" s="3"/>
      <c r="B690" s="11"/>
      <c r="C690" s="3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 x14ac:dyDescent="0.15">
      <c r="A691" s="3"/>
      <c r="B691" s="11"/>
      <c r="C691" s="3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 x14ac:dyDescent="0.15">
      <c r="A692" s="3"/>
      <c r="B692" s="11"/>
      <c r="C692" s="3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 x14ac:dyDescent="0.15">
      <c r="A693" s="3"/>
      <c r="B693" s="11"/>
      <c r="C693" s="3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 x14ac:dyDescent="0.15">
      <c r="A694" s="3"/>
      <c r="B694" s="11"/>
      <c r="C694" s="3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 x14ac:dyDescent="0.15">
      <c r="A695" s="3"/>
      <c r="B695" s="11"/>
      <c r="C695" s="3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 x14ac:dyDescent="0.15">
      <c r="A696" s="3"/>
      <c r="B696" s="11"/>
      <c r="C696" s="3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 x14ac:dyDescent="0.15">
      <c r="A697" s="3"/>
      <c r="B697" s="11"/>
      <c r="C697" s="3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 x14ac:dyDescent="0.15">
      <c r="A698" s="3"/>
      <c r="B698" s="11"/>
      <c r="C698" s="3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 x14ac:dyDescent="0.15">
      <c r="A699" s="3"/>
      <c r="B699" s="11"/>
      <c r="C699" s="3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 x14ac:dyDescent="0.15">
      <c r="A700" s="3"/>
      <c r="B700" s="11"/>
      <c r="C700" s="3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 x14ac:dyDescent="0.15">
      <c r="A701" s="3"/>
      <c r="B701" s="11"/>
      <c r="C701" s="3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 x14ac:dyDescent="0.15">
      <c r="A702" s="3"/>
      <c r="B702" s="11"/>
      <c r="C702" s="3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 x14ac:dyDescent="0.15">
      <c r="A703" s="3"/>
      <c r="B703" s="11"/>
      <c r="C703" s="3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 x14ac:dyDescent="0.15">
      <c r="A704" s="3"/>
      <c r="B704" s="11"/>
      <c r="C704" s="3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 x14ac:dyDescent="0.15">
      <c r="A705" s="3"/>
      <c r="B705" s="11"/>
      <c r="C705" s="3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 x14ac:dyDescent="0.15">
      <c r="A706" s="3"/>
      <c r="B706" s="11"/>
      <c r="C706" s="3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 x14ac:dyDescent="0.15">
      <c r="A707" s="3"/>
      <c r="B707" s="11"/>
      <c r="C707" s="3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 x14ac:dyDescent="0.15">
      <c r="A708" s="3"/>
      <c r="B708" s="11"/>
      <c r="C708" s="3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 x14ac:dyDescent="0.15">
      <c r="A709" s="3"/>
      <c r="B709" s="11"/>
      <c r="C709" s="3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 x14ac:dyDescent="0.15">
      <c r="A710" s="3"/>
      <c r="B710" s="11"/>
      <c r="C710" s="3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 x14ac:dyDescent="0.15">
      <c r="A711" s="3"/>
      <c r="B711" s="11"/>
      <c r="C711" s="3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 x14ac:dyDescent="0.15">
      <c r="A712" s="3"/>
      <c r="B712" s="11"/>
      <c r="C712" s="3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 x14ac:dyDescent="0.15">
      <c r="A713" s="3"/>
      <c r="B713" s="11"/>
      <c r="C713" s="3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 x14ac:dyDescent="0.15">
      <c r="A714" s="3"/>
      <c r="B714" s="11"/>
      <c r="C714" s="3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 x14ac:dyDescent="0.15">
      <c r="A715" s="3"/>
      <c r="B715" s="11"/>
      <c r="C715" s="3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 x14ac:dyDescent="0.15">
      <c r="A716" s="3"/>
      <c r="B716" s="11"/>
      <c r="C716" s="3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 x14ac:dyDescent="0.15">
      <c r="A717" s="3"/>
      <c r="B717" s="11"/>
      <c r="C717" s="3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 x14ac:dyDescent="0.15">
      <c r="A718" s="3"/>
      <c r="B718" s="11"/>
      <c r="C718" s="3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 x14ac:dyDescent="0.15">
      <c r="A719" s="3"/>
      <c r="B719" s="11"/>
      <c r="C719" s="3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 x14ac:dyDescent="0.15">
      <c r="A720" s="3"/>
      <c r="B720" s="11"/>
      <c r="C720" s="3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 x14ac:dyDescent="0.15">
      <c r="A721" s="3"/>
      <c r="B721" s="11"/>
      <c r="C721" s="3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 x14ac:dyDescent="0.15">
      <c r="A722" s="3"/>
      <c r="B722" s="11"/>
      <c r="C722" s="3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 x14ac:dyDescent="0.15">
      <c r="A723" s="3"/>
      <c r="B723" s="11"/>
      <c r="C723" s="3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 x14ac:dyDescent="0.15">
      <c r="A724" s="3"/>
      <c r="B724" s="11"/>
      <c r="C724" s="3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 x14ac:dyDescent="0.15">
      <c r="A725" s="3"/>
      <c r="B725" s="11"/>
      <c r="C725" s="3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 x14ac:dyDescent="0.15">
      <c r="A726" s="3"/>
      <c r="B726" s="11"/>
      <c r="C726" s="3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 x14ac:dyDescent="0.15">
      <c r="A727" s="3"/>
      <c r="B727" s="11"/>
      <c r="C727" s="3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 x14ac:dyDescent="0.15">
      <c r="A728" s="3"/>
      <c r="B728" s="11"/>
      <c r="C728" s="3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 x14ac:dyDescent="0.15">
      <c r="A729" s="3"/>
      <c r="B729" s="11"/>
      <c r="C729" s="3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 x14ac:dyDescent="0.15">
      <c r="A730" s="3"/>
      <c r="B730" s="11"/>
      <c r="C730" s="3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 x14ac:dyDescent="0.15">
      <c r="A731" s="3"/>
      <c r="B731" s="11"/>
      <c r="C731" s="3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 x14ac:dyDescent="0.15">
      <c r="A732" s="3"/>
      <c r="B732" s="11"/>
      <c r="C732" s="3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 x14ac:dyDescent="0.15">
      <c r="A733" s="3"/>
      <c r="B733" s="11"/>
      <c r="C733" s="3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 x14ac:dyDescent="0.15">
      <c r="A734" s="3"/>
      <c r="B734" s="11"/>
      <c r="C734" s="3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 x14ac:dyDescent="0.15">
      <c r="A735" s="3"/>
      <c r="B735" s="11"/>
      <c r="C735" s="3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 x14ac:dyDescent="0.15">
      <c r="A736" s="3"/>
      <c r="B736" s="11"/>
      <c r="C736" s="3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 x14ac:dyDescent="0.15">
      <c r="A737" s="3"/>
      <c r="B737" s="11"/>
      <c r="C737" s="3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 x14ac:dyDescent="0.15">
      <c r="A738" s="3"/>
      <c r="B738" s="11"/>
      <c r="C738" s="3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 x14ac:dyDescent="0.15">
      <c r="A739" s="3"/>
      <c r="B739" s="11"/>
      <c r="C739" s="3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 x14ac:dyDescent="0.15">
      <c r="A740" s="3"/>
      <c r="B740" s="11"/>
      <c r="C740" s="3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 x14ac:dyDescent="0.15">
      <c r="A741" s="3"/>
      <c r="B741" s="11"/>
      <c r="C741" s="3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 x14ac:dyDescent="0.15">
      <c r="A742" s="3"/>
      <c r="B742" s="11"/>
      <c r="C742" s="3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 x14ac:dyDescent="0.15">
      <c r="A743" s="3"/>
      <c r="B743" s="11"/>
      <c r="C743" s="3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 x14ac:dyDescent="0.15">
      <c r="A744" s="3"/>
      <c r="B744" s="11"/>
      <c r="C744" s="3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 x14ac:dyDescent="0.15">
      <c r="A745" s="3"/>
      <c r="B745" s="11"/>
      <c r="C745" s="3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 x14ac:dyDescent="0.15">
      <c r="A746" s="3"/>
      <c r="B746" s="11"/>
      <c r="C746" s="3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 x14ac:dyDescent="0.15">
      <c r="A747" s="3"/>
      <c r="B747" s="11"/>
      <c r="C747" s="3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 x14ac:dyDescent="0.15">
      <c r="A748" s="3"/>
      <c r="B748" s="11"/>
      <c r="C748" s="3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 x14ac:dyDescent="0.15">
      <c r="A749" s="3"/>
      <c r="B749" s="11"/>
      <c r="C749" s="3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 x14ac:dyDescent="0.15">
      <c r="A750" s="3"/>
      <c r="B750" s="11"/>
      <c r="C750" s="3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 x14ac:dyDescent="0.15">
      <c r="A751" s="3"/>
      <c r="B751" s="11"/>
      <c r="C751" s="3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 x14ac:dyDescent="0.15">
      <c r="A752" s="3"/>
      <c r="B752" s="11"/>
      <c r="C752" s="3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 x14ac:dyDescent="0.15">
      <c r="A753" s="3"/>
      <c r="B753" s="11"/>
      <c r="C753" s="3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 x14ac:dyDescent="0.15">
      <c r="A754" s="3"/>
      <c r="B754" s="11"/>
      <c r="C754" s="3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 x14ac:dyDescent="0.15">
      <c r="A755" s="3"/>
      <c r="B755" s="11"/>
      <c r="C755" s="3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 x14ac:dyDescent="0.15">
      <c r="A756" s="3"/>
      <c r="B756" s="11"/>
      <c r="C756" s="3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 x14ac:dyDescent="0.15">
      <c r="A757" s="3"/>
      <c r="B757" s="11"/>
      <c r="C757" s="3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 x14ac:dyDescent="0.15">
      <c r="A758" s="3"/>
      <c r="B758" s="11"/>
      <c r="C758" s="3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 x14ac:dyDescent="0.15">
      <c r="A759" s="3"/>
      <c r="B759" s="11"/>
      <c r="C759" s="3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 x14ac:dyDescent="0.15">
      <c r="A760" s="3"/>
      <c r="B760" s="11"/>
      <c r="C760" s="3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 x14ac:dyDescent="0.15">
      <c r="A761" s="3"/>
      <c r="B761" s="11"/>
      <c r="C761" s="3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 x14ac:dyDescent="0.15">
      <c r="A762" s="3"/>
      <c r="B762" s="11"/>
      <c r="C762" s="3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 x14ac:dyDescent="0.15">
      <c r="A763" s="3"/>
      <c r="B763" s="11"/>
      <c r="C763" s="3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 x14ac:dyDescent="0.15">
      <c r="A764" s="3"/>
      <c r="B764" s="11"/>
      <c r="C764" s="3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 x14ac:dyDescent="0.15">
      <c r="A765" s="3"/>
      <c r="B765" s="11"/>
      <c r="C765" s="3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 x14ac:dyDescent="0.15">
      <c r="A766" s="3"/>
      <c r="B766" s="11"/>
      <c r="C766" s="3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 x14ac:dyDescent="0.15">
      <c r="A767" s="3"/>
      <c r="B767" s="11"/>
      <c r="C767" s="3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 x14ac:dyDescent="0.15">
      <c r="A768" s="3"/>
      <c r="B768" s="11"/>
      <c r="C768" s="3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 x14ac:dyDescent="0.15">
      <c r="A769" s="3"/>
      <c r="B769" s="11"/>
      <c r="C769" s="3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 x14ac:dyDescent="0.15">
      <c r="A770" s="3"/>
      <c r="B770" s="11"/>
      <c r="C770" s="3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 x14ac:dyDescent="0.15">
      <c r="A771" s="3"/>
      <c r="B771" s="11"/>
      <c r="C771" s="3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 x14ac:dyDescent="0.15">
      <c r="A772" s="3"/>
      <c r="B772" s="11"/>
      <c r="C772" s="3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 x14ac:dyDescent="0.15">
      <c r="A773" s="3"/>
      <c r="B773" s="11"/>
      <c r="C773" s="3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 x14ac:dyDescent="0.15">
      <c r="A774" s="3"/>
      <c r="B774" s="11"/>
      <c r="C774" s="3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 x14ac:dyDescent="0.15">
      <c r="A775" s="3"/>
      <c r="B775" s="11"/>
      <c r="C775" s="3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 x14ac:dyDescent="0.15">
      <c r="A776" s="3"/>
      <c r="B776" s="11"/>
      <c r="C776" s="3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 x14ac:dyDescent="0.15">
      <c r="A777" s="3"/>
      <c r="B777" s="11"/>
      <c r="C777" s="3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 x14ac:dyDescent="0.15">
      <c r="A778" s="3"/>
      <c r="B778" s="11"/>
      <c r="C778" s="3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 x14ac:dyDescent="0.15">
      <c r="A779" s="3"/>
      <c r="B779" s="11"/>
      <c r="C779" s="3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 x14ac:dyDescent="0.15">
      <c r="A780" s="3"/>
      <c r="B780" s="11"/>
      <c r="C780" s="3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 x14ac:dyDescent="0.15">
      <c r="A781" s="3"/>
      <c r="B781" s="11"/>
      <c r="C781" s="3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 x14ac:dyDescent="0.15">
      <c r="A782" s="3"/>
      <c r="B782" s="11"/>
      <c r="C782" s="3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 x14ac:dyDescent="0.15">
      <c r="A783" s="3"/>
      <c r="B783" s="11"/>
      <c r="C783" s="3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 x14ac:dyDescent="0.15">
      <c r="A784" s="3"/>
      <c r="B784" s="11"/>
      <c r="C784" s="3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 x14ac:dyDescent="0.15">
      <c r="A785" s="3"/>
      <c r="B785" s="11"/>
      <c r="C785" s="3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 x14ac:dyDescent="0.15">
      <c r="A786" s="3"/>
      <c r="B786" s="11"/>
      <c r="C786" s="3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 x14ac:dyDescent="0.15">
      <c r="A787" s="3"/>
      <c r="B787" s="11"/>
      <c r="C787" s="3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 x14ac:dyDescent="0.15">
      <c r="A788" s="3"/>
      <c r="B788" s="11"/>
      <c r="C788" s="3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 x14ac:dyDescent="0.15">
      <c r="A789" s="3"/>
      <c r="B789" s="11"/>
      <c r="C789" s="3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 x14ac:dyDescent="0.15">
      <c r="A790" s="3"/>
      <c r="B790" s="11"/>
      <c r="C790" s="3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 x14ac:dyDescent="0.15">
      <c r="A791" s="3"/>
      <c r="B791" s="11"/>
      <c r="C791" s="3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 x14ac:dyDescent="0.15">
      <c r="A792" s="3"/>
      <c r="B792" s="11"/>
      <c r="C792" s="3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 x14ac:dyDescent="0.15">
      <c r="A793" s="3"/>
      <c r="B793" s="11"/>
      <c r="C793" s="3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 x14ac:dyDescent="0.15">
      <c r="A794" s="3"/>
      <c r="B794" s="11"/>
      <c r="C794" s="3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 x14ac:dyDescent="0.15">
      <c r="A795" s="3"/>
      <c r="B795" s="11"/>
      <c r="C795" s="3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 x14ac:dyDescent="0.15">
      <c r="A796" s="3"/>
      <c r="B796" s="11"/>
      <c r="C796" s="3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 x14ac:dyDescent="0.15">
      <c r="A797" s="3"/>
      <c r="B797" s="11"/>
      <c r="C797" s="3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 x14ac:dyDescent="0.15">
      <c r="A798" s="3"/>
      <c r="B798" s="11"/>
      <c r="C798" s="3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 x14ac:dyDescent="0.15">
      <c r="A799" s="3"/>
      <c r="B799" s="11"/>
      <c r="C799" s="3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 x14ac:dyDescent="0.15">
      <c r="A800" s="3"/>
      <c r="B800" s="11"/>
      <c r="C800" s="3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 x14ac:dyDescent="0.15">
      <c r="A801" s="3"/>
      <c r="B801" s="11"/>
      <c r="C801" s="3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 x14ac:dyDescent="0.15">
      <c r="A802" s="3"/>
      <c r="B802" s="11"/>
      <c r="C802" s="3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 x14ac:dyDescent="0.15">
      <c r="A803" s="3"/>
      <c r="B803" s="11"/>
      <c r="C803" s="3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 x14ac:dyDescent="0.15">
      <c r="A804" s="3"/>
      <c r="B804" s="11"/>
      <c r="C804" s="3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 x14ac:dyDescent="0.15">
      <c r="A805" s="3"/>
      <c r="B805" s="11"/>
      <c r="C805" s="3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 x14ac:dyDescent="0.15">
      <c r="A806" s="3"/>
      <c r="B806" s="11"/>
      <c r="C806" s="3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 x14ac:dyDescent="0.15">
      <c r="A807" s="3"/>
      <c r="B807" s="11"/>
      <c r="C807" s="3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 x14ac:dyDescent="0.15">
      <c r="A808" s="3"/>
      <c r="B808" s="11"/>
      <c r="C808" s="3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 x14ac:dyDescent="0.15">
      <c r="A809" s="3"/>
      <c r="B809" s="11"/>
      <c r="C809" s="3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 x14ac:dyDescent="0.15">
      <c r="A810" s="3"/>
      <c r="B810" s="11"/>
      <c r="C810" s="3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 x14ac:dyDescent="0.15">
      <c r="A811" s="3"/>
      <c r="B811" s="11"/>
      <c r="C811" s="3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 x14ac:dyDescent="0.15">
      <c r="A812" s="3"/>
      <c r="B812" s="11"/>
      <c r="C812" s="3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 x14ac:dyDescent="0.15">
      <c r="A813" s="3"/>
      <c r="B813" s="11"/>
      <c r="C813" s="3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 x14ac:dyDescent="0.15">
      <c r="A814" s="3"/>
      <c r="B814" s="11"/>
      <c r="C814" s="3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 x14ac:dyDescent="0.15">
      <c r="A815" s="3"/>
      <c r="B815" s="11"/>
      <c r="C815" s="3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 x14ac:dyDescent="0.15">
      <c r="A816" s="3"/>
      <c r="B816" s="11"/>
      <c r="C816" s="3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 x14ac:dyDescent="0.15">
      <c r="A817" s="3"/>
      <c r="B817" s="11"/>
      <c r="C817" s="3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 x14ac:dyDescent="0.15">
      <c r="A818" s="3"/>
      <c r="B818" s="11"/>
      <c r="C818" s="3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 x14ac:dyDescent="0.15">
      <c r="A819" s="3"/>
      <c r="B819" s="11"/>
      <c r="C819" s="3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 x14ac:dyDescent="0.15">
      <c r="A820" s="3"/>
      <c r="B820" s="11"/>
      <c r="C820" s="3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 x14ac:dyDescent="0.15">
      <c r="A821" s="3"/>
      <c r="B821" s="11"/>
      <c r="C821" s="3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 x14ac:dyDescent="0.15">
      <c r="A822" s="3"/>
      <c r="B822" s="11"/>
      <c r="C822" s="3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 x14ac:dyDescent="0.15">
      <c r="A823" s="3"/>
      <c r="B823" s="11"/>
      <c r="C823" s="3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 x14ac:dyDescent="0.15">
      <c r="A824" s="3"/>
      <c r="B824" s="11"/>
      <c r="C824" s="3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 x14ac:dyDescent="0.15">
      <c r="A825" s="3"/>
      <c r="B825" s="11"/>
      <c r="C825" s="3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 x14ac:dyDescent="0.15">
      <c r="A826" s="3"/>
      <c r="B826" s="11"/>
      <c r="C826" s="3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 x14ac:dyDescent="0.15">
      <c r="A827" s="3"/>
      <c r="B827" s="11"/>
      <c r="C827" s="3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 x14ac:dyDescent="0.15">
      <c r="A828" s="3"/>
      <c r="B828" s="11"/>
      <c r="C828" s="3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 x14ac:dyDescent="0.15">
      <c r="A829" s="3"/>
      <c r="B829" s="11"/>
      <c r="C829" s="3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 x14ac:dyDescent="0.15">
      <c r="A830" s="3"/>
      <c r="B830" s="11"/>
      <c r="C830" s="3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 x14ac:dyDescent="0.15">
      <c r="A831" s="3"/>
      <c r="B831" s="11"/>
      <c r="C831" s="3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 x14ac:dyDescent="0.15">
      <c r="A832" s="3"/>
      <c r="B832" s="11"/>
      <c r="C832" s="3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 x14ac:dyDescent="0.15">
      <c r="A833" s="3"/>
      <c r="B833" s="11"/>
      <c r="C833" s="3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 x14ac:dyDescent="0.15">
      <c r="A834" s="3"/>
      <c r="B834" s="11"/>
      <c r="C834" s="3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 x14ac:dyDescent="0.15">
      <c r="A835" s="3"/>
      <c r="B835" s="11"/>
      <c r="C835" s="3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 x14ac:dyDescent="0.15">
      <c r="A836" s="3"/>
      <c r="B836" s="11"/>
      <c r="C836" s="3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 x14ac:dyDescent="0.15">
      <c r="A837" s="3"/>
      <c r="B837" s="11"/>
      <c r="C837" s="3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 x14ac:dyDescent="0.15">
      <c r="A838" s="3"/>
      <c r="B838" s="11"/>
      <c r="C838" s="3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 x14ac:dyDescent="0.15">
      <c r="A839" s="3"/>
      <c r="B839" s="11"/>
      <c r="C839" s="3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 x14ac:dyDescent="0.15">
      <c r="A840" s="3"/>
      <c r="B840" s="11"/>
      <c r="C840" s="3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 x14ac:dyDescent="0.15">
      <c r="A841" s="3"/>
      <c r="B841" s="11"/>
      <c r="C841" s="3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 x14ac:dyDescent="0.15">
      <c r="A842" s="3"/>
      <c r="B842" s="11"/>
      <c r="C842" s="3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 x14ac:dyDescent="0.15">
      <c r="A843" s="3"/>
      <c r="B843" s="11"/>
      <c r="C843" s="3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 x14ac:dyDescent="0.15">
      <c r="A844" s="3"/>
      <c r="B844" s="11"/>
      <c r="C844" s="3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 x14ac:dyDescent="0.15">
      <c r="A845" s="3"/>
      <c r="B845" s="11"/>
      <c r="C845" s="3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 x14ac:dyDescent="0.15">
      <c r="A846" s="3"/>
      <c r="B846" s="11"/>
      <c r="C846" s="3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 x14ac:dyDescent="0.15">
      <c r="A847" s="3"/>
      <c r="B847" s="11"/>
      <c r="C847" s="3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 x14ac:dyDescent="0.15">
      <c r="A848" s="3"/>
      <c r="B848" s="11"/>
      <c r="C848" s="3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 x14ac:dyDescent="0.15">
      <c r="A849" s="3"/>
      <c r="B849" s="11"/>
      <c r="C849" s="3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 x14ac:dyDescent="0.15">
      <c r="A850" s="3"/>
      <c r="B850" s="11"/>
      <c r="C850" s="3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 x14ac:dyDescent="0.15">
      <c r="A851" s="3"/>
      <c r="B851" s="11"/>
      <c r="C851" s="3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 x14ac:dyDescent="0.15">
      <c r="A852" s="3"/>
      <c r="B852" s="11"/>
      <c r="C852" s="3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 x14ac:dyDescent="0.15">
      <c r="A853" s="3"/>
      <c r="B853" s="11"/>
      <c r="C853" s="3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 x14ac:dyDescent="0.15">
      <c r="A854" s="3"/>
      <c r="B854" s="11"/>
      <c r="C854" s="3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 x14ac:dyDescent="0.15">
      <c r="A855" s="3"/>
      <c r="B855" s="11"/>
      <c r="C855" s="3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 x14ac:dyDescent="0.15">
      <c r="A856" s="3"/>
      <c r="B856" s="11"/>
      <c r="C856" s="3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 x14ac:dyDescent="0.15">
      <c r="A857" s="3"/>
      <c r="B857" s="11"/>
      <c r="C857" s="3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 x14ac:dyDescent="0.15">
      <c r="A858" s="3"/>
      <c r="B858" s="11"/>
      <c r="C858" s="3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 x14ac:dyDescent="0.15">
      <c r="A859" s="3"/>
      <c r="B859" s="11"/>
      <c r="C859" s="3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 x14ac:dyDescent="0.15">
      <c r="A860" s="3"/>
      <c r="B860" s="11"/>
      <c r="C860" s="3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 x14ac:dyDescent="0.15">
      <c r="A861" s="3"/>
      <c r="B861" s="11"/>
      <c r="C861" s="3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 x14ac:dyDescent="0.15">
      <c r="A862" s="3"/>
      <c r="B862" s="11"/>
      <c r="C862" s="3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 x14ac:dyDescent="0.15">
      <c r="A863" s="3"/>
      <c r="B863" s="11"/>
      <c r="C863" s="3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 x14ac:dyDescent="0.15">
      <c r="A864" s="3"/>
      <c r="B864" s="11"/>
      <c r="C864" s="3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 x14ac:dyDescent="0.15">
      <c r="A865" s="3"/>
      <c r="B865" s="11"/>
      <c r="C865" s="3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 x14ac:dyDescent="0.15">
      <c r="A866" s="3"/>
      <c r="B866" s="11"/>
      <c r="C866" s="3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 x14ac:dyDescent="0.15">
      <c r="A867" s="3"/>
      <c r="B867" s="11"/>
      <c r="C867" s="3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 x14ac:dyDescent="0.15">
      <c r="A868" s="3"/>
      <c r="B868" s="11"/>
      <c r="C868" s="3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 x14ac:dyDescent="0.15">
      <c r="A869" s="3"/>
      <c r="B869" s="11"/>
      <c r="C869" s="3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 x14ac:dyDescent="0.15">
      <c r="A870" s="3"/>
      <c r="B870" s="11"/>
      <c r="C870" s="3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 x14ac:dyDescent="0.15">
      <c r="A871" s="3"/>
      <c r="B871" s="11"/>
      <c r="C871" s="3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 x14ac:dyDescent="0.15">
      <c r="A872" s="3"/>
      <c r="B872" s="11"/>
      <c r="C872" s="3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 x14ac:dyDescent="0.15">
      <c r="A873" s="3"/>
      <c r="B873" s="11"/>
      <c r="C873" s="3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 x14ac:dyDescent="0.15">
      <c r="A874" s="3"/>
      <c r="B874" s="11"/>
      <c r="C874" s="3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 x14ac:dyDescent="0.15">
      <c r="A875" s="3"/>
      <c r="B875" s="11"/>
      <c r="C875" s="3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 x14ac:dyDescent="0.15">
      <c r="A876" s="3"/>
      <c r="B876" s="11"/>
      <c r="C876" s="3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 x14ac:dyDescent="0.15">
      <c r="A877" s="3"/>
      <c r="B877" s="11"/>
      <c r="C877" s="3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 x14ac:dyDescent="0.15">
      <c r="A878" s="3"/>
      <c r="B878" s="11"/>
      <c r="C878" s="3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 x14ac:dyDescent="0.15">
      <c r="A879" s="3"/>
      <c r="B879" s="11"/>
      <c r="C879" s="3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 x14ac:dyDescent="0.15">
      <c r="A880" s="3"/>
      <c r="B880" s="11"/>
      <c r="C880" s="3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 x14ac:dyDescent="0.15">
      <c r="A881" s="3"/>
      <c r="B881" s="11"/>
      <c r="C881" s="3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 x14ac:dyDescent="0.15">
      <c r="A882" s="3"/>
      <c r="B882" s="11"/>
      <c r="C882" s="3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 x14ac:dyDescent="0.15">
      <c r="A883" s="3"/>
      <c r="B883" s="11"/>
      <c r="C883" s="3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 x14ac:dyDescent="0.15">
      <c r="A884" s="3"/>
      <c r="B884" s="11"/>
      <c r="C884" s="3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 x14ac:dyDescent="0.15">
      <c r="A885" s="3"/>
      <c r="B885" s="11"/>
      <c r="C885" s="3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 x14ac:dyDescent="0.15">
      <c r="A886" s="3"/>
      <c r="B886" s="11"/>
      <c r="C886" s="3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 x14ac:dyDescent="0.15">
      <c r="A887" s="3"/>
      <c r="B887" s="11"/>
      <c r="C887" s="3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 x14ac:dyDescent="0.15">
      <c r="A888" s="3"/>
      <c r="B888" s="11"/>
      <c r="C888" s="3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 x14ac:dyDescent="0.15">
      <c r="A889" s="3"/>
      <c r="B889" s="11"/>
      <c r="C889" s="3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 x14ac:dyDescent="0.15">
      <c r="A890" s="3"/>
      <c r="B890" s="11"/>
      <c r="C890" s="3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 x14ac:dyDescent="0.15">
      <c r="A891" s="3"/>
      <c r="B891" s="11"/>
      <c r="C891" s="3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 x14ac:dyDescent="0.15">
      <c r="A892" s="3"/>
      <c r="B892" s="11"/>
      <c r="C892" s="3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 x14ac:dyDescent="0.15">
      <c r="A893" s="3"/>
      <c r="B893" s="11"/>
      <c r="C893" s="3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 x14ac:dyDescent="0.15">
      <c r="A894" s="3"/>
      <c r="B894" s="11"/>
      <c r="C894" s="3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 x14ac:dyDescent="0.15">
      <c r="A895" s="3"/>
      <c r="B895" s="11"/>
      <c r="C895" s="3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 x14ac:dyDescent="0.15">
      <c r="A896" s="3"/>
      <c r="B896" s="11"/>
      <c r="C896" s="3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 x14ac:dyDescent="0.15">
      <c r="A897" s="3"/>
      <c r="B897" s="11"/>
      <c r="C897" s="3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 x14ac:dyDescent="0.15">
      <c r="A898" s="3"/>
      <c r="B898" s="11"/>
      <c r="C898" s="3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 x14ac:dyDescent="0.15">
      <c r="A899" s="3"/>
      <c r="B899" s="11"/>
      <c r="C899" s="3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 x14ac:dyDescent="0.15">
      <c r="A900" s="3"/>
      <c r="B900" s="11"/>
      <c r="C900" s="3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 x14ac:dyDescent="0.15">
      <c r="A901" s="3"/>
      <c r="B901" s="11"/>
      <c r="C901" s="3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 x14ac:dyDescent="0.15">
      <c r="A902" s="3"/>
      <c r="B902" s="11"/>
      <c r="C902" s="3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 x14ac:dyDescent="0.15">
      <c r="A903" s="3"/>
      <c r="B903" s="11"/>
      <c r="C903" s="3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 x14ac:dyDescent="0.15">
      <c r="A904" s="3"/>
      <c r="B904" s="11"/>
      <c r="C904" s="3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 x14ac:dyDescent="0.15">
      <c r="A905" s="3"/>
      <c r="B905" s="11"/>
      <c r="C905" s="3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 x14ac:dyDescent="0.15">
      <c r="A906" s="3"/>
      <c r="B906" s="11"/>
      <c r="C906" s="3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 x14ac:dyDescent="0.15">
      <c r="A907" s="3"/>
      <c r="B907" s="11"/>
      <c r="C907" s="3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 x14ac:dyDescent="0.15">
      <c r="A908" s="3"/>
      <c r="B908" s="11"/>
      <c r="C908" s="3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 x14ac:dyDescent="0.15">
      <c r="A909" s="3"/>
      <c r="B909" s="11"/>
      <c r="C909" s="3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 x14ac:dyDescent="0.15">
      <c r="A910" s="3"/>
      <c r="B910" s="11"/>
      <c r="C910" s="3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 x14ac:dyDescent="0.15">
      <c r="A911" s="3"/>
      <c r="B911" s="11"/>
      <c r="C911" s="3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 x14ac:dyDescent="0.15">
      <c r="A912" s="3"/>
      <c r="B912" s="11"/>
      <c r="C912" s="3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 x14ac:dyDescent="0.15">
      <c r="A913" s="3"/>
      <c r="B913" s="11"/>
      <c r="C913" s="3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 x14ac:dyDescent="0.15">
      <c r="A914" s="3"/>
      <c r="B914" s="11"/>
      <c r="C914" s="3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 x14ac:dyDescent="0.15">
      <c r="A915" s="3"/>
      <c r="B915" s="11"/>
      <c r="C915" s="3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 x14ac:dyDescent="0.15">
      <c r="A916" s="3"/>
      <c r="B916" s="11"/>
      <c r="C916" s="3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 x14ac:dyDescent="0.15">
      <c r="A917" s="3"/>
      <c r="B917" s="11"/>
      <c r="C917" s="3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 x14ac:dyDescent="0.15">
      <c r="A918" s="3"/>
      <c r="B918" s="11"/>
      <c r="C918" s="3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 x14ac:dyDescent="0.15">
      <c r="A919" s="3"/>
      <c r="B919" s="11"/>
      <c r="C919" s="3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 x14ac:dyDescent="0.15">
      <c r="A920" s="3"/>
      <c r="B920" s="11"/>
      <c r="C920" s="3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 x14ac:dyDescent="0.15">
      <c r="A921" s="3"/>
      <c r="B921" s="11"/>
      <c r="C921" s="3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 x14ac:dyDescent="0.15">
      <c r="A922" s="3"/>
      <c r="B922" s="11"/>
      <c r="C922" s="3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 x14ac:dyDescent="0.15">
      <c r="A923" s="3"/>
      <c r="B923" s="11"/>
      <c r="C923" s="3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 x14ac:dyDescent="0.15">
      <c r="A924" s="3"/>
      <c r="B924" s="11"/>
      <c r="C924" s="3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 x14ac:dyDescent="0.15">
      <c r="A925" s="3"/>
      <c r="B925" s="11"/>
      <c r="C925" s="3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 x14ac:dyDescent="0.15">
      <c r="A926" s="3"/>
      <c r="B926" s="11"/>
      <c r="C926" s="3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 x14ac:dyDescent="0.15">
      <c r="A927" s="3"/>
      <c r="B927" s="11"/>
      <c r="C927" s="3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 x14ac:dyDescent="0.15">
      <c r="A928" s="3"/>
      <c r="B928" s="11"/>
      <c r="C928" s="3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customHeight="1" x14ac:dyDescent="0.15">
      <c r="A929" s="3"/>
      <c r="B929" s="11"/>
      <c r="C929" s="3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customHeight="1" x14ac:dyDescent="0.15">
      <c r="A930" s="3"/>
      <c r="B930" s="11"/>
      <c r="C930" s="3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customHeight="1" x14ac:dyDescent="0.15">
      <c r="A931" s="3"/>
      <c r="B931" s="11"/>
      <c r="C931" s="3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customHeight="1" x14ac:dyDescent="0.15">
      <c r="A932" s="3"/>
      <c r="B932" s="11"/>
      <c r="C932" s="3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customHeight="1" x14ac:dyDescent="0.15">
      <c r="A933" s="3"/>
      <c r="B933" s="11"/>
      <c r="C933" s="3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customHeight="1" x14ac:dyDescent="0.15">
      <c r="A934" s="3"/>
      <c r="B934" s="11"/>
      <c r="C934" s="3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customHeight="1" x14ac:dyDescent="0.15">
      <c r="A935" s="3"/>
      <c r="B935" s="11"/>
      <c r="C935" s="3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customHeight="1" x14ac:dyDescent="0.15">
      <c r="A936" s="3"/>
      <c r="B936" s="11"/>
      <c r="C936" s="3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customHeight="1" x14ac:dyDescent="0.15">
      <c r="A937" s="3"/>
      <c r="B937" s="11"/>
      <c r="C937" s="3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customHeight="1" x14ac:dyDescent="0.15">
      <c r="A938" s="3"/>
      <c r="B938" s="11"/>
      <c r="C938" s="3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customHeight="1" x14ac:dyDescent="0.15">
      <c r="A939" s="3"/>
      <c r="B939" s="11"/>
      <c r="C939" s="3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customHeight="1" x14ac:dyDescent="0.15">
      <c r="A940" s="3"/>
      <c r="B940" s="11"/>
      <c r="C940" s="3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customHeight="1" x14ac:dyDescent="0.15">
      <c r="A941" s="3"/>
      <c r="B941" s="11"/>
      <c r="C941" s="3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customHeight="1" x14ac:dyDescent="0.15">
      <c r="A942" s="3"/>
      <c r="B942" s="11"/>
      <c r="C942" s="3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customHeight="1" x14ac:dyDescent="0.15">
      <c r="A943" s="3"/>
      <c r="B943" s="11"/>
      <c r="C943" s="3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customHeight="1" x14ac:dyDescent="0.15">
      <c r="A944" s="3"/>
      <c r="B944" s="11"/>
      <c r="C944" s="3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customHeight="1" x14ac:dyDescent="0.15">
      <c r="A945" s="3"/>
      <c r="B945" s="11"/>
      <c r="C945" s="3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customHeight="1" x14ac:dyDescent="0.15">
      <c r="A946" s="3"/>
      <c r="B946" s="11"/>
      <c r="C946" s="3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customHeight="1" x14ac:dyDescent="0.15">
      <c r="A947" s="3"/>
      <c r="B947" s="11"/>
      <c r="C947" s="3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customHeight="1" x14ac:dyDescent="0.15">
      <c r="A948" s="3"/>
      <c r="B948" s="11"/>
      <c r="C948" s="3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customHeight="1" x14ac:dyDescent="0.15">
      <c r="A949" s="3"/>
      <c r="B949" s="11"/>
      <c r="C949" s="3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customHeight="1" x14ac:dyDescent="0.15">
      <c r="A950" s="3"/>
      <c r="B950" s="11"/>
      <c r="C950" s="3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customHeight="1" x14ac:dyDescent="0.15">
      <c r="A951" s="3"/>
      <c r="B951" s="11"/>
      <c r="C951" s="3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customHeight="1" x14ac:dyDescent="0.15">
      <c r="A952" s="3"/>
      <c r="B952" s="11"/>
      <c r="C952" s="3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customHeight="1" x14ac:dyDescent="0.15">
      <c r="A953" s="3"/>
      <c r="B953" s="11"/>
      <c r="C953" s="3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customHeight="1" x14ac:dyDescent="0.15">
      <c r="A954" s="3"/>
      <c r="B954" s="11"/>
      <c r="C954" s="3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customHeight="1" x14ac:dyDescent="0.15">
      <c r="A955" s="3"/>
      <c r="B955" s="11"/>
      <c r="C955" s="3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 customHeight="1" x14ac:dyDescent="0.15">
      <c r="A956" s="3"/>
      <c r="B956" s="11"/>
      <c r="C956" s="3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 customHeight="1" x14ac:dyDescent="0.15">
      <c r="A957" s="3"/>
      <c r="B957" s="11"/>
      <c r="C957" s="3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 customHeight="1" x14ac:dyDescent="0.15">
      <c r="A958" s="3"/>
      <c r="B958" s="11"/>
      <c r="C958" s="3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 customHeight="1" x14ac:dyDescent="0.15">
      <c r="A959" s="3"/>
      <c r="B959" s="11"/>
      <c r="C959" s="3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 customHeight="1" x14ac:dyDescent="0.15">
      <c r="A960" s="3"/>
      <c r="B960" s="11"/>
      <c r="C960" s="3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 customHeight="1" x14ac:dyDescent="0.15">
      <c r="A961" s="3"/>
      <c r="B961" s="11"/>
      <c r="C961" s="3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 customHeight="1" x14ac:dyDescent="0.15">
      <c r="A962" s="3"/>
      <c r="B962" s="11"/>
      <c r="C962" s="3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 customHeight="1" x14ac:dyDescent="0.15">
      <c r="A963" s="3"/>
      <c r="B963" s="11"/>
      <c r="C963" s="3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 customHeight="1" x14ac:dyDescent="0.15">
      <c r="A964" s="3"/>
      <c r="B964" s="11"/>
      <c r="C964" s="3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 customHeight="1" x14ac:dyDescent="0.15">
      <c r="A965" s="3"/>
      <c r="B965" s="11"/>
      <c r="C965" s="3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 customHeight="1" x14ac:dyDescent="0.15">
      <c r="A966" s="3"/>
      <c r="B966" s="11"/>
      <c r="C966" s="3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 customHeight="1" x14ac:dyDescent="0.15">
      <c r="A967" s="3"/>
      <c r="B967" s="11"/>
      <c r="C967" s="3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 customHeight="1" x14ac:dyDescent="0.15">
      <c r="A968" s="3"/>
      <c r="B968" s="11"/>
      <c r="C968" s="3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 customHeight="1" x14ac:dyDescent="0.15">
      <c r="A969" s="3"/>
      <c r="B969" s="11"/>
      <c r="C969" s="3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 customHeight="1" x14ac:dyDescent="0.15">
      <c r="A970" s="3"/>
      <c r="B970" s="11"/>
      <c r="C970" s="3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 customHeight="1" x14ac:dyDescent="0.15">
      <c r="A971" s="3"/>
      <c r="B971" s="11"/>
      <c r="C971" s="3"/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 customHeight="1" x14ac:dyDescent="0.15">
      <c r="A972" s="3"/>
      <c r="B972" s="11"/>
      <c r="C972" s="3"/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 customHeight="1" x14ac:dyDescent="0.15">
      <c r="A973" s="3"/>
      <c r="B973" s="11"/>
      <c r="C973" s="3"/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 customHeight="1" x14ac:dyDescent="0.15">
      <c r="A974" s="3"/>
      <c r="B974" s="11"/>
      <c r="C974" s="3"/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 customHeight="1" x14ac:dyDescent="0.15">
      <c r="A975" s="3"/>
      <c r="B975" s="11"/>
      <c r="C975" s="3"/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 customHeight="1" x14ac:dyDescent="0.15">
      <c r="A976" s="3"/>
      <c r="B976" s="11"/>
      <c r="C976" s="3"/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 customHeight="1" x14ac:dyDescent="0.15">
      <c r="A977" s="3"/>
      <c r="B977" s="11"/>
      <c r="C977" s="3"/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 customHeight="1" x14ac:dyDescent="0.15">
      <c r="A978" s="3"/>
      <c r="B978" s="11"/>
      <c r="C978" s="3"/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 customHeight="1" x14ac:dyDescent="0.15">
      <c r="A979" s="3"/>
      <c r="B979" s="11"/>
      <c r="C979" s="3"/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 customHeight="1" x14ac:dyDescent="0.15">
      <c r="A980" s="3"/>
      <c r="B980" s="11"/>
      <c r="C980" s="3"/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 customHeight="1" x14ac:dyDescent="0.15">
      <c r="A981" s="3"/>
      <c r="B981" s="11"/>
      <c r="C981" s="3"/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 customHeight="1" x14ac:dyDescent="0.15">
      <c r="A982" s="3"/>
      <c r="B982" s="11"/>
      <c r="C982" s="3"/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 customHeight="1" x14ac:dyDescent="0.15">
      <c r="A983" s="3"/>
      <c r="B983" s="11"/>
      <c r="C983" s="3"/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 customHeight="1" x14ac:dyDescent="0.15">
      <c r="A984" s="3"/>
      <c r="B984" s="11"/>
      <c r="C984" s="3"/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 customHeight="1" x14ac:dyDescent="0.15">
      <c r="A985" s="3"/>
      <c r="B985" s="11"/>
      <c r="C985" s="3"/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 customHeight="1" x14ac:dyDescent="0.15">
      <c r="A986" s="3"/>
      <c r="B986" s="11"/>
      <c r="C986" s="3"/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 customHeight="1" x14ac:dyDescent="0.15">
      <c r="A987" s="3"/>
      <c r="B987" s="11"/>
      <c r="C987" s="3"/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 customHeight="1" x14ac:dyDescent="0.15">
      <c r="A988" s="3"/>
      <c r="B988" s="11"/>
      <c r="C988" s="3"/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 customHeight="1" x14ac:dyDescent="0.15">
      <c r="A989" s="3"/>
      <c r="B989" s="11"/>
      <c r="C989" s="3"/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 customHeight="1" x14ac:dyDescent="0.15">
      <c r="A990" s="3"/>
      <c r="B990" s="11"/>
      <c r="C990" s="3"/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 customHeight="1" x14ac:dyDescent="0.15">
      <c r="A991" s="3"/>
      <c r="B991" s="11"/>
      <c r="C991" s="3"/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 customHeight="1" x14ac:dyDescent="0.15">
      <c r="A992" s="3"/>
      <c r="B992" s="11"/>
      <c r="C992" s="3"/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 customHeight="1" x14ac:dyDescent="0.15">
      <c r="A993" s="3"/>
      <c r="B993" s="11"/>
      <c r="C993" s="3"/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 customHeight="1" x14ac:dyDescent="0.15">
      <c r="A994" s="3"/>
      <c r="B994" s="11"/>
      <c r="C994" s="3"/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5" customHeight="1" x14ac:dyDescent="0.15">
      <c r="A995" s="3"/>
      <c r="B995" s="11"/>
      <c r="C995" s="3"/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5" customHeight="1" x14ac:dyDescent="0.15">
      <c r="A996" s="3"/>
      <c r="B996" s="11"/>
      <c r="C996" s="3"/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5" customHeight="1" x14ac:dyDescent="0.15">
      <c r="A997" s="3"/>
      <c r="B997" s="11"/>
      <c r="C997" s="3"/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5" customHeight="1" x14ac:dyDescent="0.15">
      <c r="A998" s="3"/>
      <c r="B998" s="11"/>
      <c r="C998" s="3"/>
      <c r="D998" s="4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5" customHeight="1" x14ac:dyDescent="0.15">
      <c r="A999" s="3"/>
      <c r="B999" s="11"/>
      <c r="C999" s="3"/>
      <c r="D999" s="4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5" customHeight="1" x14ac:dyDescent="0.15">
      <c r="A1000" s="3"/>
      <c r="B1000" s="11"/>
      <c r="C1000" s="3"/>
      <c r="D1000" s="4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8">
    <mergeCell ref="B41:D41"/>
    <mergeCell ref="B42:D42"/>
    <mergeCell ref="A6:B6"/>
    <mergeCell ref="C6:E6"/>
    <mergeCell ref="F6:K6"/>
    <mergeCell ref="A7:B7"/>
    <mergeCell ref="C7:E7"/>
    <mergeCell ref="F7:K7"/>
    <mergeCell ref="O6:T6"/>
    <mergeCell ref="O7:T7"/>
    <mergeCell ref="D19:E19"/>
    <mergeCell ref="B39:D39"/>
    <mergeCell ref="B40:D40"/>
    <mergeCell ref="L6:N6"/>
    <mergeCell ref="A4:B4"/>
    <mergeCell ref="C4:D4"/>
    <mergeCell ref="F4:K4"/>
    <mergeCell ref="L4:T4"/>
    <mergeCell ref="A5:B5"/>
    <mergeCell ref="C5:T5"/>
    <mergeCell ref="A2:B2"/>
    <mergeCell ref="C2:D2"/>
    <mergeCell ref="F2:K2"/>
    <mergeCell ref="L2:T2"/>
    <mergeCell ref="C3:E3"/>
    <mergeCell ref="F3:K3"/>
    <mergeCell ref="L3:N3"/>
    <mergeCell ref="A3:B3"/>
  </mergeCells>
  <dataValidations count="3">
    <dataValidation type="list" allowBlank="1" showInputMessage="1" showErrorMessage="1" prompt=" - " sqref="F10:T38" xr:uid="{00000000-0002-0000-0600-000000000000}">
      <formula1>"O"</formula1>
    </dataValidation>
    <dataValidation type="list" allowBlank="1" showInputMessage="1" showErrorMessage="1" prompt=" - " sqref="F39:T39" xr:uid="{00000000-0002-0000-0600-000001000000}">
      <formula1>"N,A,B"</formula1>
    </dataValidation>
    <dataValidation type="list" allowBlank="1" showInputMessage="1" showErrorMessage="1" prompt=" - " sqref="F40:T40" xr:uid="{00000000-0002-0000-06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875" customWidth="1"/>
    <col min="4" max="4" width="11.375" customWidth="1"/>
    <col min="5" max="5" width="1.875" hidden="1" customWidth="1"/>
    <col min="6" max="21" width="2.875" customWidth="1"/>
    <col min="22" max="23" width="9" customWidth="1"/>
    <col min="24" max="26" width="10" customWidth="1"/>
  </cols>
  <sheetData>
    <row r="1" spans="1:26" ht="13.5" customHeight="1" x14ac:dyDescent="0.15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 x14ac:dyDescent="0.15">
      <c r="A2" s="132" t="s">
        <v>8</v>
      </c>
      <c r="B2" s="133"/>
      <c r="C2" s="134" t="e">
        <f>#REF!</f>
        <v>#REF!</v>
      </c>
      <c r="D2" s="135"/>
      <c r="E2" s="136"/>
      <c r="F2" s="137" t="s">
        <v>1</v>
      </c>
      <c r="G2" s="138"/>
      <c r="H2" s="138"/>
      <c r="I2" s="138"/>
      <c r="J2" s="138"/>
      <c r="K2" s="139"/>
      <c r="L2" s="140" t="e">
        <f>#REF!</f>
        <v>#REF!</v>
      </c>
      <c r="M2" s="135"/>
      <c r="N2" s="135"/>
      <c r="O2" s="135"/>
      <c r="P2" s="135"/>
      <c r="Q2" s="135"/>
      <c r="R2" s="135"/>
      <c r="S2" s="135"/>
      <c r="T2" s="141"/>
      <c r="U2" s="3"/>
      <c r="V2" s="5"/>
      <c r="W2" s="3"/>
      <c r="X2" s="3"/>
      <c r="Y2" s="3"/>
      <c r="Z2" s="3"/>
    </row>
    <row r="3" spans="1:26" ht="13.5" customHeight="1" x14ac:dyDescent="0.15">
      <c r="A3" s="148" t="s">
        <v>9</v>
      </c>
      <c r="B3" s="130"/>
      <c r="C3" s="142" t="s">
        <v>10</v>
      </c>
      <c r="D3" s="143"/>
      <c r="E3" s="144"/>
      <c r="F3" s="145" t="s">
        <v>11</v>
      </c>
      <c r="G3" s="129"/>
      <c r="H3" s="129"/>
      <c r="I3" s="129"/>
      <c r="J3" s="129"/>
      <c r="K3" s="130"/>
      <c r="L3" s="146"/>
      <c r="M3" s="143"/>
      <c r="N3" s="147"/>
      <c r="O3" s="6"/>
      <c r="P3" s="6"/>
      <c r="Q3" s="6"/>
      <c r="R3" s="6"/>
      <c r="S3" s="6"/>
      <c r="T3" s="7"/>
      <c r="U3" s="3"/>
      <c r="V3" s="3"/>
      <c r="W3" s="3"/>
      <c r="X3" s="3"/>
      <c r="Y3" s="3"/>
      <c r="Z3" s="3"/>
    </row>
    <row r="4" spans="1:26" ht="13.5" customHeight="1" x14ac:dyDescent="0.15">
      <c r="A4" s="148" t="s">
        <v>12</v>
      </c>
      <c r="B4" s="130"/>
      <c r="C4" s="149">
        <v>100</v>
      </c>
      <c r="D4" s="131"/>
      <c r="E4" s="8"/>
      <c r="F4" s="145" t="s">
        <v>13</v>
      </c>
      <c r="G4" s="129"/>
      <c r="H4" s="129"/>
      <c r="I4" s="129"/>
      <c r="J4" s="129"/>
      <c r="K4" s="130"/>
      <c r="L4" s="150" t="e">
        <f>IF(#REF!&lt;&gt;"N/A",SUM(C4*#REF!/1000,-O7),"N/A")</f>
        <v>#REF!</v>
      </c>
      <c r="M4" s="129"/>
      <c r="N4" s="129"/>
      <c r="O4" s="129"/>
      <c r="P4" s="129"/>
      <c r="Q4" s="129"/>
      <c r="R4" s="129"/>
      <c r="S4" s="129"/>
      <c r="T4" s="151"/>
      <c r="U4" s="3"/>
      <c r="V4" s="5"/>
      <c r="W4" s="3"/>
      <c r="X4" s="3"/>
      <c r="Y4" s="3"/>
      <c r="Z4" s="3"/>
    </row>
    <row r="5" spans="1:26" ht="13.5" customHeight="1" x14ac:dyDescent="0.15">
      <c r="A5" s="148" t="s">
        <v>14</v>
      </c>
      <c r="B5" s="130"/>
      <c r="C5" s="152" t="s">
        <v>15</v>
      </c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51"/>
      <c r="U5" s="3"/>
      <c r="V5" s="3"/>
      <c r="W5" s="3"/>
      <c r="X5" s="3"/>
      <c r="Y5" s="3"/>
      <c r="Z5" s="3"/>
    </row>
    <row r="6" spans="1:26" ht="13.5" customHeight="1" x14ac:dyDescent="0.15">
      <c r="A6" s="167" t="s">
        <v>2</v>
      </c>
      <c r="B6" s="130"/>
      <c r="C6" s="153" t="s">
        <v>3</v>
      </c>
      <c r="D6" s="129"/>
      <c r="E6" s="130"/>
      <c r="F6" s="153" t="s">
        <v>4</v>
      </c>
      <c r="G6" s="129"/>
      <c r="H6" s="129"/>
      <c r="I6" s="129"/>
      <c r="J6" s="129"/>
      <c r="K6" s="130"/>
      <c r="L6" s="168" t="s">
        <v>16</v>
      </c>
      <c r="M6" s="129"/>
      <c r="N6" s="131"/>
      <c r="O6" s="153" t="s">
        <v>7</v>
      </c>
      <c r="P6" s="129"/>
      <c r="Q6" s="129"/>
      <c r="R6" s="129"/>
      <c r="S6" s="129"/>
      <c r="T6" s="151"/>
      <c r="U6" s="3"/>
      <c r="V6" s="5"/>
      <c r="W6" s="3"/>
      <c r="X6" s="3"/>
      <c r="Y6" s="3"/>
      <c r="Z6" s="3"/>
    </row>
    <row r="7" spans="1:26" ht="13.5" customHeight="1" x14ac:dyDescent="0.15">
      <c r="A7" s="169">
        <f>COUNTIF(F47:HQ47,"P")</f>
        <v>0</v>
      </c>
      <c r="B7" s="170"/>
      <c r="C7" s="154">
        <f>COUNTIF(F47:HQ47,"F")</f>
        <v>0</v>
      </c>
      <c r="D7" s="155"/>
      <c r="E7" s="170"/>
      <c r="F7" s="154">
        <f>SUM(O7,-A7,-C7)</f>
        <v>15</v>
      </c>
      <c r="G7" s="155"/>
      <c r="H7" s="155"/>
      <c r="I7" s="155"/>
      <c r="J7" s="155"/>
      <c r="K7" s="170"/>
      <c r="L7" s="9">
        <f>COUNTIF(E46:HQ46,"N")</f>
        <v>0</v>
      </c>
      <c r="M7" s="9">
        <f>COUNTIF(E46:HQ46,"A")</f>
        <v>0</v>
      </c>
      <c r="N7" s="9">
        <f>COUNTIF(E46:HQ46,"B")</f>
        <v>0</v>
      </c>
      <c r="O7" s="154">
        <f>COUNTA(E9:HT9)</f>
        <v>15</v>
      </c>
      <c r="P7" s="155"/>
      <c r="Q7" s="155"/>
      <c r="R7" s="155"/>
      <c r="S7" s="155"/>
      <c r="T7" s="156"/>
      <c r="U7" s="10"/>
      <c r="V7" s="3"/>
      <c r="W7" s="3"/>
      <c r="X7" s="3"/>
      <c r="Y7" s="3"/>
      <c r="Z7" s="3"/>
    </row>
    <row r="8" spans="1:26" ht="12" customHeight="1" x14ac:dyDescent="0.15">
      <c r="A8" s="3"/>
      <c r="B8" s="11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5" customHeight="1" x14ac:dyDescent="0.15">
      <c r="A9" s="71"/>
      <c r="B9" s="121"/>
      <c r="C9" s="122"/>
      <c r="D9" s="123"/>
      <c r="E9" s="122"/>
      <c r="F9" s="124" t="s">
        <v>17</v>
      </c>
      <c r="G9" s="124" t="s">
        <v>18</v>
      </c>
      <c r="H9" s="124" t="s">
        <v>18</v>
      </c>
      <c r="I9" s="124" t="s">
        <v>18</v>
      </c>
      <c r="J9" s="124" t="s">
        <v>18</v>
      </c>
      <c r="K9" s="124" t="s">
        <v>18</v>
      </c>
      <c r="L9" s="124" t="s">
        <v>23</v>
      </c>
      <c r="M9" s="124" t="s">
        <v>24</v>
      </c>
      <c r="N9" s="124" t="s">
        <v>25</v>
      </c>
      <c r="O9" s="124" t="s">
        <v>26</v>
      </c>
      <c r="P9" s="124" t="s">
        <v>27</v>
      </c>
      <c r="Q9" s="124" t="s">
        <v>28</v>
      </c>
      <c r="R9" s="124" t="s">
        <v>29</v>
      </c>
      <c r="S9" s="124" t="s">
        <v>30</v>
      </c>
      <c r="T9" s="125" t="s">
        <v>31</v>
      </c>
      <c r="U9" s="77"/>
      <c r="V9" s="5"/>
      <c r="W9" s="3"/>
      <c r="X9" s="3"/>
      <c r="Y9" s="3"/>
      <c r="Z9" s="3"/>
    </row>
    <row r="10" spans="1:26" ht="13.5" customHeight="1" x14ac:dyDescent="0.3">
      <c r="A10" s="17" t="s">
        <v>32</v>
      </c>
      <c r="B10" s="78" t="s">
        <v>64</v>
      </c>
      <c r="C10" s="79"/>
      <c r="D10" s="27"/>
      <c r="E10" s="80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2"/>
      <c r="U10" s="3"/>
      <c r="V10" s="3"/>
      <c r="W10" s="3"/>
      <c r="X10" s="3"/>
      <c r="Y10" s="3"/>
      <c r="Z10" s="3"/>
    </row>
    <row r="11" spans="1:26" ht="13.5" customHeight="1" x14ac:dyDescent="0.3">
      <c r="A11" s="83"/>
      <c r="B11" s="78"/>
      <c r="C11" s="79"/>
      <c r="D11" s="27"/>
      <c r="E11" s="84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2"/>
      <c r="U11" s="3"/>
      <c r="V11" s="5"/>
      <c r="W11" s="3"/>
      <c r="X11" s="3"/>
      <c r="Y11" s="3"/>
      <c r="Z11" s="3"/>
    </row>
    <row r="12" spans="1:26" ht="13.5" customHeight="1" x14ac:dyDescent="0.3">
      <c r="A12" s="83"/>
      <c r="B12" s="78"/>
      <c r="C12" s="79"/>
      <c r="D12" s="27"/>
      <c r="E12" s="84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2"/>
      <c r="U12" s="3"/>
      <c r="V12" s="3"/>
      <c r="W12" s="3"/>
      <c r="X12" s="3"/>
      <c r="Y12" s="3"/>
      <c r="Z12" s="3"/>
    </row>
    <row r="13" spans="1:26" ht="13.5" customHeight="1" x14ac:dyDescent="0.3">
      <c r="A13" s="83"/>
      <c r="B13" s="78"/>
      <c r="C13" s="79"/>
      <c r="D13" s="27"/>
      <c r="E13" s="85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2"/>
      <c r="U13" s="3"/>
      <c r="V13" s="3"/>
      <c r="W13" s="3"/>
      <c r="X13" s="3"/>
      <c r="Y13" s="3"/>
      <c r="Z13" s="3"/>
    </row>
    <row r="14" spans="1:26" ht="13.5" customHeight="1" x14ac:dyDescent="0.3">
      <c r="A14" s="83"/>
      <c r="B14" s="78" t="s">
        <v>86</v>
      </c>
      <c r="C14" s="79"/>
      <c r="D14" s="27"/>
      <c r="E14" s="86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2"/>
      <c r="U14" s="3"/>
      <c r="V14" s="3"/>
      <c r="W14" s="3"/>
      <c r="X14" s="3"/>
      <c r="Y14" s="3"/>
      <c r="Z14" s="3"/>
    </row>
    <row r="15" spans="1:26" ht="13.5" customHeight="1" x14ac:dyDescent="0.3">
      <c r="A15" s="83"/>
      <c r="B15" s="78"/>
      <c r="C15" s="79"/>
      <c r="D15" s="27">
        <v>-2</v>
      </c>
      <c r="E15" s="86"/>
      <c r="F15" s="81" t="s">
        <v>35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2"/>
      <c r="U15" s="3"/>
      <c r="V15" s="3"/>
      <c r="W15" s="3"/>
      <c r="X15" s="3"/>
      <c r="Y15" s="3"/>
      <c r="Z15" s="3"/>
    </row>
    <row r="16" spans="1:26" ht="13.5" customHeight="1" x14ac:dyDescent="0.3">
      <c r="A16" s="83"/>
      <c r="B16" s="78"/>
      <c r="C16" s="79"/>
      <c r="D16" s="27">
        <v>-1</v>
      </c>
      <c r="E16" s="86"/>
      <c r="F16" s="81"/>
      <c r="G16" s="81"/>
      <c r="H16" s="81"/>
      <c r="I16" s="81"/>
      <c r="J16" s="81"/>
      <c r="K16" s="81"/>
      <c r="L16" s="81" t="s">
        <v>35</v>
      </c>
      <c r="M16" s="81"/>
      <c r="N16" s="81"/>
      <c r="O16" s="81"/>
      <c r="P16" s="81"/>
      <c r="Q16" s="81"/>
      <c r="R16" s="81"/>
      <c r="S16" s="81"/>
      <c r="T16" s="82"/>
      <c r="U16" s="3"/>
      <c r="V16" s="3"/>
      <c r="W16" s="3"/>
      <c r="X16" s="3"/>
      <c r="Y16" s="3"/>
      <c r="Z16" s="3"/>
    </row>
    <row r="17" spans="1:26" ht="13.5" customHeight="1" x14ac:dyDescent="0.3">
      <c r="A17" s="83"/>
      <c r="B17" s="78"/>
      <c r="C17" s="79"/>
      <c r="D17" s="27">
        <v>0</v>
      </c>
      <c r="E17" s="86"/>
      <c r="F17" s="81"/>
      <c r="G17" s="81" t="s">
        <v>35</v>
      </c>
      <c r="H17" s="81" t="s">
        <v>35</v>
      </c>
      <c r="I17" s="81" t="s">
        <v>35</v>
      </c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2"/>
      <c r="U17" s="87"/>
      <c r="V17" s="3"/>
      <c r="W17" s="3"/>
      <c r="X17" s="3"/>
      <c r="Y17" s="3"/>
      <c r="Z17" s="3"/>
    </row>
    <row r="18" spans="1:26" ht="13.5" customHeight="1" x14ac:dyDescent="0.3">
      <c r="A18" s="83"/>
      <c r="B18" s="78"/>
      <c r="C18" s="79"/>
      <c r="D18" s="27">
        <v>1</v>
      </c>
      <c r="E18" s="86"/>
      <c r="F18" s="81"/>
      <c r="G18" s="81"/>
      <c r="H18" s="81"/>
      <c r="I18" s="81"/>
      <c r="J18" s="81" t="s">
        <v>35</v>
      </c>
      <c r="K18" s="81" t="s">
        <v>35</v>
      </c>
      <c r="L18" s="81"/>
      <c r="M18" s="81"/>
      <c r="N18" s="81"/>
      <c r="O18" s="81"/>
      <c r="P18" s="81"/>
      <c r="Q18" s="81"/>
      <c r="R18" s="81"/>
      <c r="S18" s="81"/>
      <c r="T18" s="82"/>
      <c r="U18" s="87"/>
      <c r="V18" s="3"/>
      <c r="W18" s="3"/>
      <c r="X18" s="3"/>
      <c r="Y18" s="3"/>
      <c r="Z18" s="3"/>
    </row>
    <row r="19" spans="1:26" ht="13.5" customHeight="1" x14ac:dyDescent="0.3">
      <c r="A19" s="83"/>
      <c r="B19" s="78" t="s">
        <v>87</v>
      </c>
      <c r="C19" s="79"/>
      <c r="D19" s="27"/>
      <c r="E19" s="86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2"/>
      <c r="U19" s="87"/>
      <c r="V19" s="3"/>
      <c r="W19" s="3"/>
      <c r="X19" s="3"/>
      <c r="Y19" s="3"/>
      <c r="Z19" s="3"/>
    </row>
    <row r="20" spans="1:26" ht="13.5" customHeight="1" x14ac:dyDescent="0.3">
      <c r="A20" s="83"/>
      <c r="B20" s="78"/>
      <c r="C20" s="79"/>
      <c r="D20" s="174">
        <v>0</v>
      </c>
      <c r="E20" s="158"/>
      <c r="F20" s="81"/>
      <c r="G20" s="81" t="s">
        <v>35</v>
      </c>
      <c r="H20" s="81" t="s">
        <v>35</v>
      </c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2"/>
      <c r="U20" s="3"/>
      <c r="V20" s="3"/>
      <c r="W20" s="3"/>
      <c r="X20" s="3"/>
      <c r="Y20" s="3"/>
      <c r="Z20" s="3"/>
    </row>
    <row r="21" spans="1:26" ht="13.5" customHeight="1" x14ac:dyDescent="0.3">
      <c r="A21" s="83"/>
      <c r="B21" s="78"/>
      <c r="C21" s="79"/>
      <c r="D21" s="27">
        <v>-2</v>
      </c>
      <c r="E21" s="86"/>
      <c r="F21" s="81"/>
      <c r="G21" s="81"/>
      <c r="H21" s="81"/>
      <c r="I21" s="81"/>
      <c r="J21" s="81" t="s">
        <v>35</v>
      </c>
      <c r="K21" s="81" t="s">
        <v>35</v>
      </c>
      <c r="L21" s="81" t="s">
        <v>35</v>
      </c>
      <c r="M21" s="81"/>
      <c r="N21" s="81"/>
      <c r="O21" s="81"/>
      <c r="P21" s="81"/>
      <c r="Q21" s="81"/>
      <c r="R21" s="81"/>
      <c r="S21" s="81"/>
      <c r="T21" s="82"/>
      <c r="U21" s="3"/>
      <c r="V21" s="3"/>
      <c r="W21" s="3"/>
      <c r="X21" s="3"/>
      <c r="Y21" s="3"/>
      <c r="Z21" s="3"/>
    </row>
    <row r="22" spans="1:26" ht="13.5" customHeight="1" x14ac:dyDescent="0.3">
      <c r="A22" s="83"/>
      <c r="B22" s="78"/>
      <c r="C22" s="79"/>
      <c r="D22" s="27">
        <v>2</v>
      </c>
      <c r="E22" s="86"/>
      <c r="F22" s="81"/>
      <c r="G22" s="81"/>
      <c r="H22" s="81"/>
      <c r="I22" s="81" t="s">
        <v>35</v>
      </c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2"/>
      <c r="U22" s="3"/>
      <c r="V22" s="3"/>
      <c r="W22" s="3"/>
      <c r="X22" s="3"/>
      <c r="Y22" s="3"/>
      <c r="Z22" s="3"/>
    </row>
    <row r="23" spans="1:26" ht="13.5" customHeight="1" x14ac:dyDescent="0.3">
      <c r="A23" s="83"/>
      <c r="B23" s="78" t="s">
        <v>88</v>
      </c>
      <c r="C23" s="79"/>
      <c r="D23" s="27"/>
      <c r="E23" s="86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2"/>
      <c r="U23" s="3"/>
      <c r="V23" s="3"/>
      <c r="W23" s="3"/>
      <c r="X23" s="3"/>
      <c r="Y23" s="3"/>
      <c r="Z23" s="3"/>
    </row>
    <row r="24" spans="1:26" ht="13.5" customHeight="1" x14ac:dyDescent="0.3">
      <c r="A24" s="83"/>
      <c r="B24" s="78"/>
      <c r="C24" s="79"/>
      <c r="D24" s="27">
        <v>0</v>
      </c>
      <c r="E24" s="86"/>
      <c r="F24" s="81"/>
      <c r="G24" s="81" t="s">
        <v>35</v>
      </c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2"/>
      <c r="U24" s="3"/>
      <c r="V24" s="3"/>
      <c r="W24" s="3"/>
      <c r="X24" s="3"/>
      <c r="Y24" s="3"/>
      <c r="Z24" s="3"/>
    </row>
    <row r="25" spans="1:26" ht="13.5" customHeight="1" x14ac:dyDescent="0.3">
      <c r="A25" s="83"/>
      <c r="B25" s="78"/>
      <c r="C25" s="79"/>
      <c r="D25" s="27">
        <v>1</v>
      </c>
      <c r="E25" s="86"/>
      <c r="F25" s="81"/>
      <c r="G25" s="81"/>
      <c r="H25" s="81" t="s">
        <v>35</v>
      </c>
      <c r="I25" s="81" t="s">
        <v>35</v>
      </c>
      <c r="J25" s="81" t="s">
        <v>35</v>
      </c>
      <c r="K25" s="81"/>
      <c r="L25" s="81"/>
      <c r="M25" s="81"/>
      <c r="N25" s="81"/>
      <c r="O25" s="81"/>
      <c r="P25" s="81"/>
      <c r="Q25" s="81"/>
      <c r="R25" s="81"/>
      <c r="S25" s="81"/>
      <c r="T25" s="82"/>
      <c r="U25" s="3"/>
      <c r="V25" s="3"/>
      <c r="W25" s="3"/>
      <c r="X25" s="3"/>
      <c r="Y25" s="3"/>
      <c r="Z25" s="3"/>
    </row>
    <row r="26" spans="1:26" ht="13.5" customHeight="1" x14ac:dyDescent="0.3">
      <c r="A26" s="83"/>
      <c r="B26" s="78"/>
      <c r="C26" s="79"/>
      <c r="D26" s="27">
        <v>3</v>
      </c>
      <c r="E26" s="86"/>
      <c r="F26" s="81"/>
      <c r="G26" s="81"/>
      <c r="H26" s="81"/>
      <c r="I26" s="81"/>
      <c r="J26" s="81"/>
      <c r="K26" s="81"/>
      <c r="L26" s="81" t="s">
        <v>35</v>
      </c>
      <c r="M26" s="81"/>
      <c r="N26" s="81"/>
      <c r="O26" s="81"/>
      <c r="P26" s="81"/>
      <c r="Q26" s="81"/>
      <c r="R26" s="81"/>
      <c r="S26" s="81"/>
      <c r="T26" s="82"/>
      <c r="U26" s="3"/>
      <c r="V26" s="3"/>
      <c r="W26" s="3"/>
      <c r="X26" s="3"/>
      <c r="Y26" s="3"/>
      <c r="Z26" s="3"/>
    </row>
    <row r="27" spans="1:26" ht="13.5" customHeight="1" x14ac:dyDescent="0.3">
      <c r="A27" s="83"/>
      <c r="B27" s="78"/>
      <c r="C27" s="79"/>
      <c r="D27" s="27">
        <v>5</v>
      </c>
      <c r="E27" s="86"/>
      <c r="F27" s="81"/>
      <c r="G27" s="81"/>
      <c r="H27" s="81"/>
      <c r="I27" s="81"/>
      <c r="J27" s="81"/>
      <c r="K27" s="81" t="s">
        <v>35</v>
      </c>
      <c r="L27" s="81"/>
      <c r="M27" s="81"/>
      <c r="N27" s="81"/>
      <c r="O27" s="81"/>
      <c r="P27" s="81"/>
      <c r="Q27" s="81"/>
      <c r="R27" s="81"/>
      <c r="S27" s="81"/>
      <c r="T27" s="82"/>
      <c r="U27" s="3"/>
      <c r="V27" s="3"/>
      <c r="W27" s="3"/>
      <c r="X27" s="3"/>
      <c r="Y27" s="3"/>
      <c r="Z27" s="3"/>
    </row>
    <row r="28" spans="1:26" ht="13.5" customHeight="1" x14ac:dyDescent="0.3">
      <c r="A28" s="83"/>
      <c r="B28" s="78"/>
      <c r="C28" s="79"/>
      <c r="D28" s="27"/>
      <c r="E28" s="86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2"/>
      <c r="U28" s="3"/>
      <c r="V28" s="3"/>
      <c r="W28" s="3"/>
      <c r="X28" s="3"/>
      <c r="Y28" s="3"/>
      <c r="Z28" s="3"/>
    </row>
    <row r="29" spans="1:26" ht="13.5" customHeight="1" x14ac:dyDescent="0.3">
      <c r="A29" s="83"/>
      <c r="B29" s="78"/>
      <c r="C29" s="79"/>
      <c r="D29" s="27"/>
      <c r="E29" s="86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2"/>
      <c r="U29" s="3"/>
      <c r="V29" s="3"/>
      <c r="W29" s="3"/>
      <c r="X29" s="3"/>
      <c r="Y29" s="3"/>
      <c r="Z29" s="3"/>
    </row>
    <row r="30" spans="1:26" ht="13.5" customHeight="1" x14ac:dyDescent="0.3">
      <c r="A30" s="83"/>
      <c r="B30" s="78"/>
      <c r="C30" s="79"/>
      <c r="D30" s="27"/>
      <c r="E30" s="86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2"/>
      <c r="U30" s="3"/>
      <c r="V30" s="3"/>
      <c r="W30" s="3"/>
      <c r="X30" s="3"/>
      <c r="Y30" s="3"/>
      <c r="Z30" s="3"/>
    </row>
    <row r="31" spans="1:26" ht="13.5" customHeight="1" x14ac:dyDescent="0.3">
      <c r="A31" s="83"/>
      <c r="B31" s="78"/>
      <c r="C31" s="79"/>
      <c r="D31" s="27"/>
      <c r="E31" s="86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2"/>
      <c r="U31" s="3"/>
      <c r="V31" s="3"/>
      <c r="W31" s="3"/>
      <c r="X31" s="3"/>
      <c r="Y31" s="3"/>
      <c r="Z31" s="3"/>
    </row>
    <row r="32" spans="1:26" ht="13.5" customHeight="1" x14ac:dyDescent="0.3">
      <c r="A32" s="83"/>
      <c r="B32" s="88"/>
      <c r="C32" s="89"/>
      <c r="D32" s="90"/>
      <c r="E32" s="91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3"/>
      <c r="U32" s="3"/>
      <c r="V32" s="3"/>
      <c r="W32" s="3"/>
      <c r="X32" s="3"/>
      <c r="Y32" s="3"/>
      <c r="Z32" s="3"/>
    </row>
    <row r="33" spans="1:26" ht="13.5" customHeight="1" x14ac:dyDescent="0.3">
      <c r="A33" s="40" t="s">
        <v>43</v>
      </c>
      <c r="B33" s="41" t="s">
        <v>44</v>
      </c>
      <c r="C33" s="94"/>
      <c r="D33" s="95"/>
      <c r="E33" s="96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8"/>
      <c r="U33" s="3"/>
      <c r="V33" s="3"/>
      <c r="W33" s="3"/>
      <c r="X33" s="3"/>
      <c r="Y33" s="3"/>
      <c r="Z33" s="3"/>
    </row>
    <row r="34" spans="1:26" ht="13.5" customHeight="1" x14ac:dyDescent="0.3">
      <c r="A34" s="99"/>
      <c r="B34" s="128" t="s">
        <v>89</v>
      </c>
      <c r="C34" s="100"/>
      <c r="D34" s="48"/>
      <c r="E34" s="10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2"/>
      <c r="U34" s="3"/>
      <c r="V34" s="3"/>
      <c r="W34" s="3"/>
      <c r="X34" s="3"/>
      <c r="Y34" s="3"/>
      <c r="Z34" s="3"/>
    </row>
    <row r="35" spans="1:26" ht="13.5" customHeight="1" x14ac:dyDescent="0.3">
      <c r="A35" s="99"/>
      <c r="B35" s="128"/>
      <c r="C35" s="100"/>
      <c r="D35" s="48" t="s">
        <v>69</v>
      </c>
      <c r="E35" s="101"/>
      <c r="F35" s="81" t="s">
        <v>35</v>
      </c>
      <c r="G35" s="81"/>
      <c r="H35" s="81" t="s">
        <v>35</v>
      </c>
      <c r="I35" s="81"/>
      <c r="J35" s="81"/>
      <c r="K35" s="81" t="s">
        <v>35</v>
      </c>
      <c r="L35" s="81"/>
      <c r="M35" s="81"/>
      <c r="N35" s="81"/>
      <c r="O35" s="81"/>
      <c r="P35" s="81"/>
      <c r="Q35" s="81"/>
      <c r="R35" s="81"/>
      <c r="S35" s="81"/>
      <c r="T35" s="82"/>
      <c r="U35" s="3"/>
      <c r="V35" s="3"/>
      <c r="W35" s="3"/>
      <c r="X35" s="3"/>
      <c r="Y35" s="3"/>
      <c r="Z35" s="3"/>
    </row>
    <row r="36" spans="1:26" ht="13.5" customHeight="1" x14ac:dyDescent="0.3">
      <c r="A36" s="99"/>
      <c r="B36" s="128"/>
      <c r="C36" s="100"/>
      <c r="D36" s="48" t="s">
        <v>90</v>
      </c>
      <c r="E36" s="101"/>
      <c r="F36" s="81"/>
      <c r="G36" s="81" t="s">
        <v>35</v>
      </c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2"/>
      <c r="U36" s="3"/>
      <c r="V36" s="3"/>
      <c r="W36" s="3"/>
      <c r="X36" s="3"/>
      <c r="Y36" s="3"/>
      <c r="Z36" s="3"/>
    </row>
    <row r="37" spans="1:26" ht="13.5" customHeight="1" x14ac:dyDescent="0.3">
      <c r="A37" s="99"/>
      <c r="B37" s="128"/>
      <c r="C37" s="100"/>
      <c r="D37" s="48" t="s">
        <v>91</v>
      </c>
      <c r="E37" s="101"/>
      <c r="F37" s="81"/>
      <c r="G37" s="81"/>
      <c r="H37" s="81"/>
      <c r="I37" s="81" t="s">
        <v>35</v>
      </c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2"/>
      <c r="U37" s="3"/>
      <c r="V37" s="3"/>
      <c r="W37" s="3"/>
      <c r="X37" s="3"/>
      <c r="Y37" s="3"/>
      <c r="Z37" s="3"/>
    </row>
    <row r="38" spans="1:26" ht="13.5" customHeight="1" x14ac:dyDescent="0.3">
      <c r="A38" s="99"/>
      <c r="B38" s="128"/>
      <c r="C38" s="100"/>
      <c r="D38" s="48" t="s">
        <v>92</v>
      </c>
      <c r="E38" s="101"/>
      <c r="F38" s="81"/>
      <c r="G38" s="81"/>
      <c r="H38" s="81"/>
      <c r="I38" s="81"/>
      <c r="J38" s="81" t="s">
        <v>35</v>
      </c>
      <c r="K38" s="81"/>
      <c r="L38" s="81"/>
      <c r="M38" s="81"/>
      <c r="N38" s="81"/>
      <c r="O38" s="81"/>
      <c r="P38" s="81"/>
      <c r="Q38" s="81"/>
      <c r="R38" s="81"/>
      <c r="S38" s="81"/>
      <c r="T38" s="82"/>
      <c r="U38" s="3"/>
      <c r="V38" s="3"/>
      <c r="W38" s="3"/>
      <c r="X38" s="3"/>
      <c r="Y38" s="3"/>
      <c r="Z38" s="3"/>
    </row>
    <row r="39" spans="1:26" ht="13.5" customHeight="1" x14ac:dyDescent="0.3">
      <c r="A39" s="99"/>
      <c r="B39" s="50"/>
      <c r="C39" s="47"/>
      <c r="D39" s="48" t="s">
        <v>93</v>
      </c>
      <c r="E39" s="102"/>
      <c r="F39" s="81"/>
      <c r="G39" s="81"/>
      <c r="H39" s="81"/>
      <c r="I39" s="81"/>
      <c r="J39" s="81"/>
      <c r="K39" s="81"/>
      <c r="L39" s="81" t="s">
        <v>35</v>
      </c>
      <c r="M39" s="81"/>
      <c r="N39" s="81"/>
      <c r="O39" s="81"/>
      <c r="P39" s="81"/>
      <c r="Q39" s="81"/>
      <c r="R39" s="81"/>
      <c r="S39" s="81"/>
      <c r="T39" s="82"/>
      <c r="U39" s="3"/>
      <c r="V39" s="3"/>
      <c r="W39" s="3"/>
      <c r="X39" s="3"/>
      <c r="Y39" s="3"/>
      <c r="Z39" s="3"/>
    </row>
    <row r="40" spans="1:26" ht="13.5" customHeight="1" x14ac:dyDescent="0.3">
      <c r="A40" s="99"/>
      <c r="B40" s="50" t="s">
        <v>47</v>
      </c>
      <c r="C40" s="47"/>
      <c r="D40" s="48"/>
      <c r="E40" s="102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2"/>
      <c r="U40" s="3"/>
      <c r="V40" s="3"/>
      <c r="W40" s="3"/>
      <c r="X40" s="3"/>
      <c r="Y40" s="3"/>
      <c r="Z40" s="3"/>
    </row>
    <row r="41" spans="1:26" ht="13.5" customHeight="1" x14ac:dyDescent="0.3">
      <c r="A41" s="99"/>
      <c r="B41" s="50"/>
      <c r="C41" s="47"/>
      <c r="D41" s="48"/>
      <c r="E41" s="102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2"/>
      <c r="U41" s="3"/>
      <c r="V41" s="3"/>
      <c r="W41" s="3"/>
      <c r="X41" s="3"/>
      <c r="Y41" s="3"/>
      <c r="Z41" s="3"/>
    </row>
    <row r="42" spans="1:26" ht="13.5" customHeight="1" x14ac:dyDescent="0.3">
      <c r="A42" s="99"/>
      <c r="B42" s="50" t="s">
        <v>48</v>
      </c>
      <c r="C42" s="47"/>
      <c r="D42" s="48"/>
      <c r="E42" s="102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2"/>
      <c r="U42" s="3"/>
      <c r="V42" s="3"/>
      <c r="W42" s="3"/>
      <c r="X42" s="3"/>
      <c r="Y42" s="3"/>
      <c r="Z42" s="3"/>
    </row>
    <row r="43" spans="1:26" ht="13.5" customHeight="1" x14ac:dyDescent="0.3">
      <c r="A43" s="99"/>
      <c r="B43" s="50"/>
      <c r="C43" s="47"/>
      <c r="D43" s="48" t="s">
        <v>94</v>
      </c>
      <c r="E43" s="102"/>
      <c r="F43" s="81" t="s">
        <v>35</v>
      </c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2"/>
      <c r="U43" s="3"/>
      <c r="V43" s="3"/>
      <c r="W43" s="3"/>
      <c r="X43" s="3"/>
      <c r="Y43" s="3"/>
      <c r="Z43" s="3"/>
    </row>
    <row r="44" spans="1:26" ht="13.5" customHeight="1" x14ac:dyDescent="0.3">
      <c r="A44" s="99"/>
      <c r="B44" s="103"/>
      <c r="C44" s="104"/>
      <c r="D44" s="54"/>
      <c r="E44" s="105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7"/>
      <c r="U44" s="3"/>
      <c r="V44" s="3"/>
      <c r="W44" s="3"/>
      <c r="X44" s="3"/>
      <c r="Y44" s="3"/>
      <c r="Z44" s="3"/>
    </row>
    <row r="45" spans="1:26" ht="13.5" customHeight="1" x14ac:dyDescent="0.2">
      <c r="A45" s="40" t="s">
        <v>51</v>
      </c>
      <c r="B45" s="175" t="s">
        <v>52</v>
      </c>
      <c r="C45" s="160"/>
      <c r="D45" s="161"/>
      <c r="E45" s="108"/>
      <c r="F45" s="109" t="s">
        <v>0</v>
      </c>
      <c r="G45" s="109" t="s">
        <v>5</v>
      </c>
      <c r="H45" s="109" t="s">
        <v>5</v>
      </c>
      <c r="I45" s="109" t="s">
        <v>5</v>
      </c>
      <c r="J45" s="109" t="s">
        <v>5</v>
      </c>
      <c r="K45" s="109" t="s">
        <v>5</v>
      </c>
      <c r="L45" s="109" t="s">
        <v>6</v>
      </c>
      <c r="M45" s="109"/>
      <c r="N45" s="109"/>
      <c r="O45" s="109"/>
      <c r="P45" s="109"/>
      <c r="Q45" s="109"/>
      <c r="R45" s="109"/>
      <c r="S45" s="109"/>
      <c r="T45" s="110"/>
      <c r="U45" s="3"/>
      <c r="V45" s="3"/>
      <c r="W45" s="3"/>
      <c r="X45" s="3"/>
      <c r="Y45" s="3"/>
      <c r="Z45" s="3"/>
    </row>
    <row r="46" spans="1:26" ht="13.5" customHeight="1" x14ac:dyDescent="0.2">
      <c r="A46" s="126"/>
      <c r="B46" s="176" t="s">
        <v>53</v>
      </c>
      <c r="C46" s="129"/>
      <c r="D46" s="130"/>
      <c r="E46" s="111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3"/>
      <c r="U46" s="3"/>
      <c r="V46" s="3"/>
      <c r="W46" s="3"/>
      <c r="X46" s="3"/>
      <c r="Y46" s="3"/>
      <c r="Z46" s="3"/>
    </row>
    <row r="47" spans="1:26" ht="13.5" customHeight="1" x14ac:dyDescent="0.15">
      <c r="A47" s="126"/>
      <c r="B47" s="177" t="s">
        <v>55</v>
      </c>
      <c r="C47" s="129"/>
      <c r="D47" s="130"/>
      <c r="E47" s="114"/>
      <c r="F47" s="115">
        <v>39139</v>
      </c>
      <c r="G47" s="115">
        <v>39139</v>
      </c>
      <c r="H47" s="115">
        <v>39139</v>
      </c>
      <c r="I47" s="115">
        <v>39139</v>
      </c>
      <c r="J47" s="115">
        <v>39139</v>
      </c>
      <c r="K47" s="115">
        <v>39139</v>
      </c>
      <c r="L47" s="115">
        <v>39144</v>
      </c>
      <c r="M47" s="115"/>
      <c r="N47" s="115"/>
      <c r="O47" s="115"/>
      <c r="P47" s="115"/>
      <c r="Q47" s="115"/>
      <c r="R47" s="115"/>
      <c r="S47" s="115"/>
      <c r="T47" s="116"/>
      <c r="U47" s="3"/>
      <c r="V47" s="3"/>
      <c r="W47" s="3"/>
      <c r="X47" s="3"/>
      <c r="Y47" s="3"/>
      <c r="Z47" s="3"/>
    </row>
    <row r="48" spans="1:26" ht="12" customHeight="1" x14ac:dyDescent="0.15">
      <c r="A48" s="127"/>
      <c r="B48" s="178" t="s">
        <v>56</v>
      </c>
      <c r="C48" s="165"/>
      <c r="D48" s="166"/>
      <c r="E48" s="118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20"/>
      <c r="U48" s="3"/>
      <c r="V48" s="3"/>
      <c r="W48" s="3"/>
      <c r="X48" s="3"/>
      <c r="Y48" s="3"/>
      <c r="Z48" s="3"/>
    </row>
    <row r="49" spans="1:26" ht="12" customHeight="1" x14ac:dyDescent="0.15">
      <c r="A49" s="11"/>
      <c r="B49" s="3"/>
      <c r="C49" s="4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15">
      <c r="A50" s="3"/>
      <c r="B50" s="11"/>
      <c r="C50" s="3"/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15">
      <c r="A51" s="3"/>
      <c r="B51" s="11"/>
      <c r="C51" s="3"/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15">
      <c r="A52" s="3"/>
      <c r="B52" s="11"/>
      <c r="C52" s="3"/>
      <c r="D52" s="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15">
      <c r="A53" s="3"/>
      <c r="B53" s="11"/>
      <c r="C53" s="3"/>
      <c r="D53" s="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15">
      <c r="A54" s="3"/>
      <c r="B54" s="11"/>
      <c r="C54" s="3"/>
      <c r="D54" s="4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15">
      <c r="A55" s="3"/>
      <c r="B55" s="11"/>
      <c r="C55" s="3"/>
      <c r="D55" s="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15">
      <c r="A56" s="3"/>
      <c r="B56" s="11"/>
      <c r="C56" s="3"/>
      <c r="D56" s="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15">
      <c r="A57" s="3"/>
      <c r="B57" s="11"/>
      <c r="C57" s="3"/>
      <c r="D57" s="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15">
      <c r="A58" s="3"/>
      <c r="B58" s="11"/>
      <c r="C58" s="3"/>
      <c r="D58" s="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15">
      <c r="A59" s="3"/>
      <c r="B59" s="11"/>
      <c r="C59" s="3"/>
      <c r="D59" s="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15">
      <c r="A60" s="3"/>
      <c r="B60" s="11"/>
      <c r="C60" s="3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15">
      <c r="A61" s="3"/>
      <c r="B61" s="11"/>
      <c r="C61" s="3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15">
      <c r="A62" s="3"/>
      <c r="B62" s="11"/>
      <c r="C62" s="3"/>
      <c r="D62" s="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15">
      <c r="A63" s="3"/>
      <c r="B63" s="11"/>
      <c r="C63" s="3"/>
      <c r="D63" s="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15">
      <c r="A64" s="3"/>
      <c r="B64" s="11"/>
      <c r="C64" s="3"/>
      <c r="D64" s="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15">
      <c r="A65" s="3"/>
      <c r="B65" s="11"/>
      <c r="C65" s="3"/>
      <c r="D65" s="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15">
      <c r="A66" s="3"/>
      <c r="B66" s="11"/>
      <c r="C66" s="3"/>
      <c r="D66" s="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15">
      <c r="A67" s="3"/>
      <c r="B67" s="11"/>
      <c r="C67" s="3"/>
      <c r="D67" s="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15">
      <c r="A68" s="3"/>
      <c r="B68" s="11"/>
      <c r="C68" s="3"/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15">
      <c r="A69" s="3"/>
      <c r="B69" s="11"/>
      <c r="C69" s="3"/>
      <c r="D69" s="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15">
      <c r="A70" s="3"/>
      <c r="B70" s="11"/>
      <c r="C70" s="3"/>
      <c r="D70" s="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15">
      <c r="A71" s="3"/>
      <c r="B71" s="11"/>
      <c r="C71" s="3"/>
      <c r="D71" s="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15">
      <c r="A72" s="3"/>
      <c r="B72" s="11"/>
      <c r="C72" s="3"/>
      <c r="D72" s="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15">
      <c r="A73" s="3"/>
      <c r="B73" s="11"/>
      <c r="C73" s="3"/>
      <c r="D73" s="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15">
      <c r="A74" s="3"/>
      <c r="B74" s="11"/>
      <c r="C74" s="3"/>
      <c r="D74" s="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15">
      <c r="A75" s="3"/>
      <c r="B75" s="11"/>
      <c r="C75" s="3"/>
      <c r="D75" s="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15">
      <c r="A76" s="3"/>
      <c r="B76" s="11"/>
      <c r="C76" s="3"/>
      <c r="D76" s="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15">
      <c r="A77" s="3"/>
      <c r="B77" s="11"/>
      <c r="C77" s="3"/>
      <c r="D77" s="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15">
      <c r="A78" s="3"/>
      <c r="B78" s="11"/>
      <c r="C78" s="3"/>
      <c r="D78" s="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15">
      <c r="A79" s="3"/>
      <c r="B79" s="11"/>
      <c r="C79" s="3"/>
      <c r="D79" s="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15">
      <c r="A80" s="3"/>
      <c r="B80" s="11"/>
      <c r="C80" s="3"/>
      <c r="D80" s="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15">
      <c r="A81" s="3"/>
      <c r="B81" s="11"/>
      <c r="C81" s="3"/>
      <c r="D81" s="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15">
      <c r="A82" s="3"/>
      <c r="B82" s="11"/>
      <c r="C82" s="3"/>
      <c r="D82" s="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15">
      <c r="A83" s="3"/>
      <c r="B83" s="11"/>
      <c r="C83" s="3"/>
      <c r="D83" s="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15">
      <c r="A84" s="3"/>
      <c r="B84" s="11"/>
      <c r="C84" s="3"/>
      <c r="D84" s="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15">
      <c r="A85" s="3"/>
      <c r="B85" s="11"/>
      <c r="C85" s="3"/>
      <c r="D85" s="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15">
      <c r="A86" s="3"/>
      <c r="B86" s="11"/>
      <c r="C86" s="3"/>
      <c r="D86" s="4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15">
      <c r="A87" s="3"/>
      <c r="B87" s="11"/>
      <c r="C87" s="3"/>
      <c r="D87" s="4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15">
      <c r="A88" s="3"/>
      <c r="B88" s="11"/>
      <c r="C88" s="3"/>
      <c r="D88" s="4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15">
      <c r="A89" s="3"/>
      <c r="B89" s="11"/>
      <c r="C89" s="3"/>
      <c r="D89" s="4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15">
      <c r="A90" s="3"/>
      <c r="B90" s="11"/>
      <c r="C90" s="3"/>
      <c r="D90" s="4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15">
      <c r="A91" s="3"/>
      <c r="B91" s="11"/>
      <c r="C91" s="3"/>
      <c r="D91" s="4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15">
      <c r="A92" s="3"/>
      <c r="B92" s="11"/>
      <c r="C92" s="3"/>
      <c r="D92" s="4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15">
      <c r="A93" s="3"/>
      <c r="B93" s="11"/>
      <c r="C93" s="3"/>
      <c r="D93" s="4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15">
      <c r="A94" s="3"/>
      <c r="B94" s="11"/>
      <c r="C94" s="3"/>
      <c r="D94" s="4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15">
      <c r="A95" s="3"/>
      <c r="B95" s="11"/>
      <c r="C95" s="3"/>
      <c r="D95" s="4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15">
      <c r="A96" s="3"/>
      <c r="B96" s="11"/>
      <c r="C96" s="3"/>
      <c r="D96" s="4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15">
      <c r="A97" s="3"/>
      <c r="B97" s="11"/>
      <c r="C97" s="3"/>
      <c r="D97" s="4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15">
      <c r="A98" s="3"/>
      <c r="B98" s="11"/>
      <c r="C98" s="3"/>
      <c r="D98" s="4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15">
      <c r="A99" s="3"/>
      <c r="B99" s="11"/>
      <c r="C99" s="3"/>
      <c r="D99" s="4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15">
      <c r="A100" s="3"/>
      <c r="B100" s="11"/>
      <c r="C100" s="3"/>
      <c r="D100" s="4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15">
      <c r="A101" s="3"/>
      <c r="B101" s="11"/>
      <c r="C101" s="3"/>
      <c r="D101" s="4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15">
      <c r="A102" s="3"/>
      <c r="B102" s="11"/>
      <c r="C102" s="3"/>
      <c r="D102" s="4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15">
      <c r="A103" s="3"/>
      <c r="B103" s="11"/>
      <c r="C103" s="3"/>
      <c r="D103" s="4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15">
      <c r="A104" s="3"/>
      <c r="B104" s="11"/>
      <c r="C104" s="3"/>
      <c r="D104" s="4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15">
      <c r="A105" s="3"/>
      <c r="B105" s="11"/>
      <c r="C105" s="3"/>
      <c r="D105" s="4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15">
      <c r="A106" s="3"/>
      <c r="B106" s="11"/>
      <c r="C106" s="3"/>
      <c r="D106" s="4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15">
      <c r="A107" s="3"/>
      <c r="B107" s="11"/>
      <c r="C107" s="3"/>
      <c r="D107" s="4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15">
      <c r="A108" s="3"/>
      <c r="B108" s="11"/>
      <c r="C108" s="3"/>
      <c r="D108" s="4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15">
      <c r="A109" s="3"/>
      <c r="B109" s="11"/>
      <c r="C109" s="3"/>
      <c r="D109" s="4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15">
      <c r="A110" s="3"/>
      <c r="B110" s="11"/>
      <c r="C110" s="3"/>
      <c r="D110" s="4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15">
      <c r="A111" s="3"/>
      <c r="B111" s="11"/>
      <c r="C111" s="3"/>
      <c r="D111" s="4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15">
      <c r="A112" s="3"/>
      <c r="B112" s="11"/>
      <c r="C112" s="3"/>
      <c r="D112" s="4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15">
      <c r="A113" s="3"/>
      <c r="B113" s="11"/>
      <c r="C113" s="3"/>
      <c r="D113" s="4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15">
      <c r="A114" s="3"/>
      <c r="B114" s="11"/>
      <c r="C114" s="3"/>
      <c r="D114" s="4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15">
      <c r="A115" s="3"/>
      <c r="B115" s="11"/>
      <c r="C115" s="3"/>
      <c r="D115" s="4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15">
      <c r="A116" s="3"/>
      <c r="B116" s="11"/>
      <c r="C116" s="3"/>
      <c r="D116" s="4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15">
      <c r="A117" s="3"/>
      <c r="B117" s="11"/>
      <c r="C117" s="3"/>
      <c r="D117" s="4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15">
      <c r="A118" s="3"/>
      <c r="B118" s="11"/>
      <c r="C118" s="3"/>
      <c r="D118" s="4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15">
      <c r="A119" s="3"/>
      <c r="B119" s="11"/>
      <c r="C119" s="3"/>
      <c r="D119" s="4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15">
      <c r="A120" s="3"/>
      <c r="B120" s="11"/>
      <c r="C120" s="3"/>
      <c r="D120" s="4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15">
      <c r="A121" s="3"/>
      <c r="B121" s="11"/>
      <c r="C121" s="3"/>
      <c r="D121" s="4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15">
      <c r="A122" s="3"/>
      <c r="B122" s="11"/>
      <c r="C122" s="3"/>
      <c r="D122" s="4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15">
      <c r="A123" s="3"/>
      <c r="B123" s="11"/>
      <c r="C123" s="3"/>
      <c r="D123" s="4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15">
      <c r="A124" s="3"/>
      <c r="B124" s="11"/>
      <c r="C124" s="3"/>
      <c r="D124" s="4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15">
      <c r="A125" s="3"/>
      <c r="B125" s="11"/>
      <c r="C125" s="3"/>
      <c r="D125" s="4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15">
      <c r="A126" s="3"/>
      <c r="B126" s="11"/>
      <c r="C126" s="3"/>
      <c r="D126" s="4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15">
      <c r="A127" s="3"/>
      <c r="B127" s="11"/>
      <c r="C127" s="3"/>
      <c r="D127" s="4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15">
      <c r="A128" s="3"/>
      <c r="B128" s="11"/>
      <c r="C128" s="3"/>
      <c r="D128" s="4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15">
      <c r="A129" s="3"/>
      <c r="B129" s="11"/>
      <c r="C129" s="3"/>
      <c r="D129" s="4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15">
      <c r="A130" s="3"/>
      <c r="B130" s="11"/>
      <c r="C130" s="3"/>
      <c r="D130" s="4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15">
      <c r="A131" s="3"/>
      <c r="B131" s="11"/>
      <c r="C131" s="3"/>
      <c r="D131" s="4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15">
      <c r="A132" s="3"/>
      <c r="B132" s="11"/>
      <c r="C132" s="3"/>
      <c r="D132" s="4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15">
      <c r="A133" s="3"/>
      <c r="B133" s="11"/>
      <c r="C133" s="3"/>
      <c r="D133" s="4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15">
      <c r="A134" s="3"/>
      <c r="B134" s="11"/>
      <c r="C134" s="3"/>
      <c r="D134" s="4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15">
      <c r="A135" s="3"/>
      <c r="B135" s="11"/>
      <c r="C135" s="3"/>
      <c r="D135" s="4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15">
      <c r="A136" s="3"/>
      <c r="B136" s="11"/>
      <c r="C136" s="3"/>
      <c r="D136" s="4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 customHeight="1" x14ac:dyDescent="0.15">
      <c r="A137" s="3"/>
      <c r="B137" s="11"/>
      <c r="C137" s="3"/>
      <c r="D137" s="4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15">
      <c r="A138" s="3"/>
      <c r="B138" s="11"/>
      <c r="C138" s="3"/>
      <c r="D138" s="4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15">
      <c r="A139" s="3"/>
      <c r="B139" s="11"/>
      <c r="C139" s="3"/>
      <c r="D139" s="4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15">
      <c r="A140" s="3"/>
      <c r="B140" s="11"/>
      <c r="C140" s="3"/>
      <c r="D140" s="4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15">
      <c r="A141" s="3"/>
      <c r="B141" s="11"/>
      <c r="C141" s="3"/>
      <c r="D141" s="4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15">
      <c r="A142" s="3"/>
      <c r="B142" s="11"/>
      <c r="C142" s="3"/>
      <c r="D142" s="4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15">
      <c r="A143" s="3"/>
      <c r="B143" s="11"/>
      <c r="C143" s="3"/>
      <c r="D143" s="4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15">
      <c r="A144" s="3"/>
      <c r="B144" s="11"/>
      <c r="C144" s="3"/>
      <c r="D144" s="4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15">
      <c r="A145" s="3"/>
      <c r="B145" s="11"/>
      <c r="C145" s="3"/>
      <c r="D145" s="4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15">
      <c r="A146" s="3"/>
      <c r="B146" s="11"/>
      <c r="C146" s="3"/>
      <c r="D146" s="4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15">
      <c r="A147" s="3"/>
      <c r="B147" s="11"/>
      <c r="C147" s="3"/>
      <c r="D147" s="4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15">
      <c r="A148" s="3"/>
      <c r="B148" s="11"/>
      <c r="C148" s="3"/>
      <c r="D148" s="4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 customHeight="1" x14ac:dyDescent="0.15">
      <c r="A149" s="3"/>
      <c r="B149" s="11"/>
      <c r="C149" s="3"/>
      <c r="D149" s="4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 customHeight="1" x14ac:dyDescent="0.15">
      <c r="A150" s="3"/>
      <c r="B150" s="11"/>
      <c r="C150" s="3"/>
      <c r="D150" s="4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 customHeight="1" x14ac:dyDescent="0.15">
      <c r="A151" s="3"/>
      <c r="B151" s="11"/>
      <c r="C151" s="3"/>
      <c r="D151" s="4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 customHeight="1" x14ac:dyDescent="0.15">
      <c r="A152" s="3"/>
      <c r="B152" s="11"/>
      <c r="C152" s="3"/>
      <c r="D152" s="4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 customHeight="1" x14ac:dyDescent="0.15">
      <c r="A153" s="3"/>
      <c r="B153" s="11"/>
      <c r="C153" s="3"/>
      <c r="D153" s="4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 customHeight="1" x14ac:dyDescent="0.15">
      <c r="A154" s="3"/>
      <c r="B154" s="11"/>
      <c r="C154" s="3"/>
      <c r="D154" s="4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 customHeight="1" x14ac:dyDescent="0.15">
      <c r="A155" s="3"/>
      <c r="B155" s="11"/>
      <c r="C155" s="3"/>
      <c r="D155" s="4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 customHeight="1" x14ac:dyDescent="0.15">
      <c r="A156" s="3"/>
      <c r="B156" s="11"/>
      <c r="C156" s="3"/>
      <c r="D156" s="4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 customHeight="1" x14ac:dyDescent="0.15">
      <c r="A157" s="3"/>
      <c r="B157" s="11"/>
      <c r="C157" s="3"/>
      <c r="D157" s="4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 customHeight="1" x14ac:dyDescent="0.15">
      <c r="A158" s="3"/>
      <c r="B158" s="11"/>
      <c r="C158" s="3"/>
      <c r="D158" s="4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 customHeight="1" x14ac:dyDescent="0.15">
      <c r="A159" s="3"/>
      <c r="B159" s="11"/>
      <c r="C159" s="3"/>
      <c r="D159" s="4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 customHeight="1" x14ac:dyDescent="0.15">
      <c r="A160" s="3"/>
      <c r="B160" s="11"/>
      <c r="C160" s="3"/>
      <c r="D160" s="4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 customHeight="1" x14ac:dyDescent="0.15">
      <c r="A161" s="3"/>
      <c r="B161" s="11"/>
      <c r="C161" s="3"/>
      <c r="D161" s="4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 customHeight="1" x14ac:dyDescent="0.15">
      <c r="A162" s="3"/>
      <c r="B162" s="11"/>
      <c r="C162" s="3"/>
      <c r="D162" s="4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 customHeight="1" x14ac:dyDescent="0.15">
      <c r="A163" s="3"/>
      <c r="B163" s="11"/>
      <c r="C163" s="3"/>
      <c r="D163" s="4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 customHeight="1" x14ac:dyDescent="0.15">
      <c r="A164" s="3"/>
      <c r="B164" s="11"/>
      <c r="C164" s="3"/>
      <c r="D164" s="4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 x14ac:dyDescent="0.15">
      <c r="A165" s="3"/>
      <c r="B165" s="11"/>
      <c r="C165" s="3"/>
      <c r="D165" s="4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 x14ac:dyDescent="0.15">
      <c r="A166" s="3"/>
      <c r="B166" s="11"/>
      <c r="C166" s="3"/>
      <c r="D166" s="4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 x14ac:dyDescent="0.15">
      <c r="A167" s="3"/>
      <c r="B167" s="11"/>
      <c r="C167" s="3"/>
      <c r="D167" s="4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 x14ac:dyDescent="0.15">
      <c r="A168" s="3"/>
      <c r="B168" s="11"/>
      <c r="C168" s="3"/>
      <c r="D168" s="4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 x14ac:dyDescent="0.15">
      <c r="A169" s="3"/>
      <c r="B169" s="11"/>
      <c r="C169" s="3"/>
      <c r="D169" s="4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 x14ac:dyDescent="0.15">
      <c r="A170" s="3"/>
      <c r="B170" s="11"/>
      <c r="C170" s="3"/>
      <c r="D170" s="4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 x14ac:dyDescent="0.15">
      <c r="A171" s="3"/>
      <c r="B171" s="11"/>
      <c r="C171" s="3"/>
      <c r="D171" s="4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 x14ac:dyDescent="0.15">
      <c r="A172" s="3"/>
      <c r="B172" s="11"/>
      <c r="C172" s="3"/>
      <c r="D172" s="4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 x14ac:dyDescent="0.15">
      <c r="A173" s="3"/>
      <c r="B173" s="11"/>
      <c r="C173" s="3"/>
      <c r="D173" s="4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 x14ac:dyDescent="0.15">
      <c r="A174" s="3"/>
      <c r="B174" s="11"/>
      <c r="C174" s="3"/>
      <c r="D174" s="4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 x14ac:dyDescent="0.15">
      <c r="A175" s="3"/>
      <c r="B175" s="11"/>
      <c r="C175" s="3"/>
      <c r="D175" s="4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 x14ac:dyDescent="0.15">
      <c r="A176" s="3"/>
      <c r="B176" s="11"/>
      <c r="C176" s="3"/>
      <c r="D176" s="4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 x14ac:dyDescent="0.15">
      <c r="A177" s="3"/>
      <c r="B177" s="11"/>
      <c r="C177" s="3"/>
      <c r="D177" s="4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 x14ac:dyDescent="0.15">
      <c r="A178" s="3"/>
      <c r="B178" s="11"/>
      <c r="C178" s="3"/>
      <c r="D178" s="4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 x14ac:dyDescent="0.15">
      <c r="A179" s="3"/>
      <c r="B179" s="11"/>
      <c r="C179" s="3"/>
      <c r="D179" s="4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 x14ac:dyDescent="0.15">
      <c r="A180" s="3"/>
      <c r="B180" s="11"/>
      <c r="C180" s="3"/>
      <c r="D180" s="4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 x14ac:dyDescent="0.15">
      <c r="A181" s="3"/>
      <c r="B181" s="11"/>
      <c r="C181" s="3"/>
      <c r="D181" s="4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 x14ac:dyDescent="0.15">
      <c r="A182" s="3"/>
      <c r="B182" s="11"/>
      <c r="C182" s="3"/>
      <c r="D182" s="4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 x14ac:dyDescent="0.15">
      <c r="A183" s="3"/>
      <c r="B183" s="11"/>
      <c r="C183" s="3"/>
      <c r="D183" s="4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 x14ac:dyDescent="0.15">
      <c r="A184" s="3"/>
      <c r="B184" s="11"/>
      <c r="C184" s="3"/>
      <c r="D184" s="4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 x14ac:dyDescent="0.15">
      <c r="A185" s="3"/>
      <c r="B185" s="11"/>
      <c r="C185" s="3"/>
      <c r="D185" s="4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 x14ac:dyDescent="0.15">
      <c r="A186" s="3"/>
      <c r="B186" s="11"/>
      <c r="C186" s="3"/>
      <c r="D186" s="4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 x14ac:dyDescent="0.15">
      <c r="A187" s="3"/>
      <c r="B187" s="11"/>
      <c r="C187" s="3"/>
      <c r="D187" s="4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 x14ac:dyDescent="0.15">
      <c r="A188" s="3"/>
      <c r="B188" s="11"/>
      <c r="C188" s="3"/>
      <c r="D188" s="4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 x14ac:dyDescent="0.15">
      <c r="A189" s="3"/>
      <c r="B189" s="11"/>
      <c r="C189" s="3"/>
      <c r="D189" s="4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 x14ac:dyDescent="0.15">
      <c r="A190" s="3"/>
      <c r="B190" s="11"/>
      <c r="C190" s="3"/>
      <c r="D190" s="4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 x14ac:dyDescent="0.15">
      <c r="A191" s="3"/>
      <c r="B191" s="11"/>
      <c r="C191" s="3"/>
      <c r="D191" s="4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 x14ac:dyDescent="0.15">
      <c r="A192" s="3"/>
      <c r="B192" s="11"/>
      <c r="C192" s="3"/>
      <c r="D192" s="4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 x14ac:dyDescent="0.15">
      <c r="A193" s="3"/>
      <c r="B193" s="11"/>
      <c r="C193" s="3"/>
      <c r="D193" s="4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 x14ac:dyDescent="0.15">
      <c r="A194" s="3"/>
      <c r="B194" s="11"/>
      <c r="C194" s="3"/>
      <c r="D194" s="4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 x14ac:dyDescent="0.15">
      <c r="A195" s="3"/>
      <c r="B195" s="11"/>
      <c r="C195" s="3"/>
      <c r="D195" s="4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 x14ac:dyDescent="0.15">
      <c r="A196" s="3"/>
      <c r="B196" s="11"/>
      <c r="C196" s="3"/>
      <c r="D196" s="4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 x14ac:dyDescent="0.15">
      <c r="A197" s="3"/>
      <c r="B197" s="11"/>
      <c r="C197" s="3"/>
      <c r="D197" s="4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 x14ac:dyDescent="0.15">
      <c r="A198" s="3"/>
      <c r="B198" s="11"/>
      <c r="C198" s="3"/>
      <c r="D198" s="4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 x14ac:dyDescent="0.15">
      <c r="A199" s="3"/>
      <c r="B199" s="11"/>
      <c r="C199" s="3"/>
      <c r="D199" s="4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 x14ac:dyDescent="0.15">
      <c r="A200" s="3"/>
      <c r="B200" s="11"/>
      <c r="C200" s="3"/>
      <c r="D200" s="4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 x14ac:dyDescent="0.15">
      <c r="A201" s="3"/>
      <c r="B201" s="11"/>
      <c r="C201" s="3"/>
      <c r="D201" s="4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 x14ac:dyDescent="0.15">
      <c r="A202" s="3"/>
      <c r="B202" s="11"/>
      <c r="C202" s="3"/>
      <c r="D202" s="4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 x14ac:dyDescent="0.15">
      <c r="A203" s="3"/>
      <c r="B203" s="11"/>
      <c r="C203" s="3"/>
      <c r="D203" s="4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 x14ac:dyDescent="0.15">
      <c r="A204" s="3"/>
      <c r="B204" s="11"/>
      <c r="C204" s="3"/>
      <c r="D204" s="4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 x14ac:dyDescent="0.15">
      <c r="A205" s="3"/>
      <c r="B205" s="11"/>
      <c r="C205" s="3"/>
      <c r="D205" s="4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 x14ac:dyDescent="0.15">
      <c r="A206" s="3"/>
      <c r="B206" s="11"/>
      <c r="C206" s="3"/>
      <c r="D206" s="4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 x14ac:dyDescent="0.15">
      <c r="A207" s="3"/>
      <c r="B207" s="11"/>
      <c r="C207" s="3"/>
      <c r="D207" s="4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 x14ac:dyDescent="0.15">
      <c r="A208" s="3"/>
      <c r="B208" s="11"/>
      <c r="C208" s="3"/>
      <c r="D208" s="4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 x14ac:dyDescent="0.15">
      <c r="A209" s="3"/>
      <c r="B209" s="11"/>
      <c r="C209" s="3"/>
      <c r="D209" s="4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 x14ac:dyDescent="0.15">
      <c r="A210" s="3"/>
      <c r="B210" s="11"/>
      <c r="C210" s="3"/>
      <c r="D210" s="4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 x14ac:dyDescent="0.15">
      <c r="A211" s="3"/>
      <c r="B211" s="11"/>
      <c r="C211" s="3"/>
      <c r="D211" s="4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 x14ac:dyDescent="0.15">
      <c r="A212" s="3"/>
      <c r="B212" s="11"/>
      <c r="C212" s="3"/>
      <c r="D212" s="4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 x14ac:dyDescent="0.15">
      <c r="A213" s="3"/>
      <c r="B213" s="11"/>
      <c r="C213" s="3"/>
      <c r="D213" s="4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 x14ac:dyDescent="0.15">
      <c r="A214" s="3"/>
      <c r="B214" s="11"/>
      <c r="C214" s="3"/>
      <c r="D214" s="4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 x14ac:dyDescent="0.15">
      <c r="A215" s="3"/>
      <c r="B215" s="11"/>
      <c r="C215" s="3"/>
      <c r="D215" s="4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 x14ac:dyDescent="0.15">
      <c r="A216" s="3"/>
      <c r="B216" s="11"/>
      <c r="C216" s="3"/>
      <c r="D216" s="4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 x14ac:dyDescent="0.15">
      <c r="A217" s="3"/>
      <c r="B217" s="11"/>
      <c r="C217" s="3"/>
      <c r="D217" s="4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 x14ac:dyDescent="0.15">
      <c r="A218" s="3"/>
      <c r="B218" s="11"/>
      <c r="C218" s="3"/>
      <c r="D218" s="4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 x14ac:dyDescent="0.15">
      <c r="A219" s="3"/>
      <c r="B219" s="11"/>
      <c r="C219" s="3"/>
      <c r="D219" s="4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 x14ac:dyDescent="0.15">
      <c r="A220" s="3"/>
      <c r="B220" s="11"/>
      <c r="C220" s="3"/>
      <c r="D220" s="4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 x14ac:dyDescent="0.15">
      <c r="A221" s="3"/>
      <c r="B221" s="11"/>
      <c r="C221" s="3"/>
      <c r="D221" s="4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 x14ac:dyDescent="0.15">
      <c r="A222" s="3"/>
      <c r="B222" s="11"/>
      <c r="C222" s="3"/>
      <c r="D222" s="4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 x14ac:dyDescent="0.15">
      <c r="A223" s="3"/>
      <c r="B223" s="11"/>
      <c r="C223" s="3"/>
      <c r="D223" s="4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 x14ac:dyDescent="0.15">
      <c r="A224" s="3"/>
      <c r="B224" s="11"/>
      <c r="C224" s="3"/>
      <c r="D224" s="4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 x14ac:dyDescent="0.15">
      <c r="A225" s="3"/>
      <c r="B225" s="11"/>
      <c r="C225" s="3"/>
      <c r="D225" s="4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 x14ac:dyDescent="0.15">
      <c r="A226" s="3"/>
      <c r="B226" s="11"/>
      <c r="C226" s="3"/>
      <c r="D226" s="4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 x14ac:dyDescent="0.15">
      <c r="A227" s="3"/>
      <c r="B227" s="11"/>
      <c r="C227" s="3"/>
      <c r="D227" s="4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 x14ac:dyDescent="0.15">
      <c r="A228" s="3"/>
      <c r="B228" s="11"/>
      <c r="C228" s="3"/>
      <c r="D228" s="4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 x14ac:dyDescent="0.15">
      <c r="A229" s="3"/>
      <c r="B229" s="11"/>
      <c r="C229" s="3"/>
      <c r="D229" s="4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 x14ac:dyDescent="0.15">
      <c r="A230" s="3"/>
      <c r="B230" s="11"/>
      <c r="C230" s="3"/>
      <c r="D230" s="4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 x14ac:dyDescent="0.15">
      <c r="A231" s="3"/>
      <c r="B231" s="11"/>
      <c r="C231" s="3"/>
      <c r="D231" s="4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 x14ac:dyDescent="0.15">
      <c r="A232" s="3"/>
      <c r="B232" s="11"/>
      <c r="C232" s="3"/>
      <c r="D232" s="4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 x14ac:dyDescent="0.15">
      <c r="A233" s="3"/>
      <c r="B233" s="11"/>
      <c r="C233" s="3"/>
      <c r="D233" s="4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 x14ac:dyDescent="0.15">
      <c r="A234" s="3"/>
      <c r="B234" s="11"/>
      <c r="C234" s="3"/>
      <c r="D234" s="4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 x14ac:dyDescent="0.15">
      <c r="A235" s="3"/>
      <c r="B235" s="11"/>
      <c r="C235" s="3"/>
      <c r="D235" s="4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 x14ac:dyDescent="0.15">
      <c r="A236" s="3"/>
      <c r="B236" s="11"/>
      <c r="C236" s="3"/>
      <c r="D236" s="4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 x14ac:dyDescent="0.15">
      <c r="A237" s="3"/>
      <c r="B237" s="11"/>
      <c r="C237" s="3"/>
      <c r="D237" s="4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 x14ac:dyDescent="0.15">
      <c r="A238" s="3"/>
      <c r="B238" s="11"/>
      <c r="C238" s="3"/>
      <c r="D238" s="4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 x14ac:dyDescent="0.15">
      <c r="A239" s="3"/>
      <c r="B239" s="11"/>
      <c r="C239" s="3"/>
      <c r="D239" s="4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 x14ac:dyDescent="0.15">
      <c r="A240" s="3"/>
      <c r="B240" s="11"/>
      <c r="C240" s="3"/>
      <c r="D240" s="4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 x14ac:dyDescent="0.15">
      <c r="A241" s="3"/>
      <c r="B241" s="11"/>
      <c r="C241" s="3"/>
      <c r="D241" s="4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 x14ac:dyDescent="0.15">
      <c r="A242" s="3"/>
      <c r="B242" s="11"/>
      <c r="C242" s="3"/>
      <c r="D242" s="4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 x14ac:dyDescent="0.15">
      <c r="A243" s="3"/>
      <c r="B243" s="11"/>
      <c r="C243" s="3"/>
      <c r="D243" s="4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 x14ac:dyDescent="0.15">
      <c r="A244" s="3"/>
      <c r="B244" s="11"/>
      <c r="C244" s="3"/>
      <c r="D244" s="4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 x14ac:dyDescent="0.15">
      <c r="A245" s="3"/>
      <c r="B245" s="11"/>
      <c r="C245" s="3"/>
      <c r="D245" s="4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 x14ac:dyDescent="0.15">
      <c r="A246" s="3"/>
      <c r="B246" s="11"/>
      <c r="C246" s="3"/>
      <c r="D246" s="4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 x14ac:dyDescent="0.15">
      <c r="A247" s="3"/>
      <c r="B247" s="11"/>
      <c r="C247" s="3"/>
      <c r="D247" s="4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 x14ac:dyDescent="0.15">
      <c r="A248" s="3"/>
      <c r="B248" s="11"/>
      <c r="C248" s="3"/>
      <c r="D248" s="4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 x14ac:dyDescent="0.15">
      <c r="A249" s="3"/>
      <c r="B249" s="11"/>
      <c r="C249" s="3"/>
      <c r="D249" s="4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 x14ac:dyDescent="0.15">
      <c r="A250" s="3"/>
      <c r="B250" s="11"/>
      <c r="C250" s="3"/>
      <c r="D250" s="4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 x14ac:dyDescent="0.15">
      <c r="A251" s="3"/>
      <c r="B251" s="11"/>
      <c r="C251" s="3"/>
      <c r="D251" s="4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 x14ac:dyDescent="0.15">
      <c r="A252" s="3"/>
      <c r="B252" s="11"/>
      <c r="C252" s="3"/>
      <c r="D252" s="4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 x14ac:dyDescent="0.15">
      <c r="A253" s="3"/>
      <c r="B253" s="11"/>
      <c r="C253" s="3"/>
      <c r="D253" s="4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 x14ac:dyDescent="0.15">
      <c r="A254" s="3"/>
      <c r="B254" s="11"/>
      <c r="C254" s="3"/>
      <c r="D254" s="4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 x14ac:dyDescent="0.15">
      <c r="A255" s="3"/>
      <c r="B255" s="11"/>
      <c r="C255" s="3"/>
      <c r="D255" s="4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 x14ac:dyDescent="0.15">
      <c r="A256" s="3"/>
      <c r="B256" s="11"/>
      <c r="C256" s="3"/>
      <c r="D256" s="4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 x14ac:dyDescent="0.15">
      <c r="A257" s="3"/>
      <c r="B257" s="11"/>
      <c r="C257" s="3"/>
      <c r="D257" s="4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 x14ac:dyDescent="0.15">
      <c r="A258" s="3"/>
      <c r="B258" s="11"/>
      <c r="C258" s="3"/>
      <c r="D258" s="4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 x14ac:dyDescent="0.15">
      <c r="A259" s="3"/>
      <c r="B259" s="11"/>
      <c r="C259" s="3"/>
      <c r="D259" s="4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 x14ac:dyDescent="0.15">
      <c r="A260" s="3"/>
      <c r="B260" s="11"/>
      <c r="C260" s="3"/>
      <c r="D260" s="4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 x14ac:dyDescent="0.15">
      <c r="A261" s="3"/>
      <c r="B261" s="11"/>
      <c r="C261" s="3"/>
      <c r="D261" s="4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 x14ac:dyDescent="0.15">
      <c r="A262" s="3"/>
      <c r="B262" s="11"/>
      <c r="C262" s="3"/>
      <c r="D262" s="4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 x14ac:dyDescent="0.15">
      <c r="A263" s="3"/>
      <c r="B263" s="11"/>
      <c r="C263" s="3"/>
      <c r="D263" s="4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 x14ac:dyDescent="0.15">
      <c r="A264" s="3"/>
      <c r="B264" s="11"/>
      <c r="C264" s="3"/>
      <c r="D264" s="4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 x14ac:dyDescent="0.15">
      <c r="A265" s="3"/>
      <c r="B265" s="11"/>
      <c r="C265" s="3"/>
      <c r="D265" s="4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 x14ac:dyDescent="0.15">
      <c r="A266" s="3"/>
      <c r="B266" s="11"/>
      <c r="C266" s="3"/>
      <c r="D266" s="4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 x14ac:dyDescent="0.15">
      <c r="A267" s="3"/>
      <c r="B267" s="11"/>
      <c r="C267" s="3"/>
      <c r="D267" s="4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 x14ac:dyDescent="0.15">
      <c r="A268" s="3"/>
      <c r="B268" s="11"/>
      <c r="C268" s="3"/>
      <c r="D268" s="4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 x14ac:dyDescent="0.15">
      <c r="A269" s="3"/>
      <c r="B269" s="11"/>
      <c r="C269" s="3"/>
      <c r="D269" s="4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 x14ac:dyDescent="0.15">
      <c r="A270" s="3"/>
      <c r="B270" s="11"/>
      <c r="C270" s="3"/>
      <c r="D270" s="4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 x14ac:dyDescent="0.15">
      <c r="A271" s="3"/>
      <c r="B271" s="11"/>
      <c r="C271" s="3"/>
      <c r="D271" s="4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 x14ac:dyDescent="0.15">
      <c r="A272" s="3"/>
      <c r="B272" s="11"/>
      <c r="C272" s="3"/>
      <c r="D272" s="4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 x14ac:dyDescent="0.15">
      <c r="A273" s="3"/>
      <c r="B273" s="11"/>
      <c r="C273" s="3"/>
      <c r="D273" s="4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 x14ac:dyDescent="0.15">
      <c r="A274" s="3"/>
      <c r="B274" s="11"/>
      <c r="C274" s="3"/>
      <c r="D274" s="4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 x14ac:dyDescent="0.15">
      <c r="A275" s="3"/>
      <c r="B275" s="11"/>
      <c r="C275" s="3"/>
      <c r="D275" s="4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 x14ac:dyDescent="0.15">
      <c r="A276" s="3"/>
      <c r="B276" s="11"/>
      <c r="C276" s="3"/>
      <c r="D276" s="4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 x14ac:dyDescent="0.15">
      <c r="A277" s="3"/>
      <c r="B277" s="11"/>
      <c r="C277" s="3"/>
      <c r="D277" s="4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 x14ac:dyDescent="0.15">
      <c r="A278" s="3"/>
      <c r="B278" s="11"/>
      <c r="C278" s="3"/>
      <c r="D278" s="4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 x14ac:dyDescent="0.15">
      <c r="A279" s="3"/>
      <c r="B279" s="11"/>
      <c r="C279" s="3"/>
      <c r="D279" s="4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 x14ac:dyDescent="0.15">
      <c r="A280" s="3"/>
      <c r="B280" s="11"/>
      <c r="C280" s="3"/>
      <c r="D280" s="4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 x14ac:dyDescent="0.15">
      <c r="A281" s="3"/>
      <c r="B281" s="11"/>
      <c r="C281" s="3"/>
      <c r="D281" s="4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 x14ac:dyDescent="0.15">
      <c r="A282" s="3"/>
      <c r="B282" s="11"/>
      <c r="C282" s="3"/>
      <c r="D282" s="4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 x14ac:dyDescent="0.15">
      <c r="A283" s="3"/>
      <c r="B283" s="11"/>
      <c r="C283" s="3"/>
      <c r="D283" s="4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 x14ac:dyDescent="0.15">
      <c r="A284" s="3"/>
      <c r="B284" s="11"/>
      <c r="C284" s="3"/>
      <c r="D284" s="4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 x14ac:dyDescent="0.15">
      <c r="A285" s="3"/>
      <c r="B285" s="11"/>
      <c r="C285" s="3"/>
      <c r="D285" s="4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 x14ac:dyDescent="0.15">
      <c r="A286" s="3"/>
      <c r="B286" s="11"/>
      <c r="C286" s="3"/>
      <c r="D286" s="4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 x14ac:dyDescent="0.15">
      <c r="A287" s="3"/>
      <c r="B287" s="11"/>
      <c r="C287" s="3"/>
      <c r="D287" s="4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 x14ac:dyDescent="0.15">
      <c r="A288" s="3"/>
      <c r="B288" s="11"/>
      <c r="C288" s="3"/>
      <c r="D288" s="4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 x14ac:dyDescent="0.15">
      <c r="A289" s="3"/>
      <c r="B289" s="11"/>
      <c r="C289" s="3"/>
      <c r="D289" s="4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 x14ac:dyDescent="0.15">
      <c r="A290" s="3"/>
      <c r="B290" s="11"/>
      <c r="C290" s="3"/>
      <c r="D290" s="4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 x14ac:dyDescent="0.15">
      <c r="A291" s="3"/>
      <c r="B291" s="11"/>
      <c r="C291" s="3"/>
      <c r="D291" s="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 x14ac:dyDescent="0.15">
      <c r="A292" s="3"/>
      <c r="B292" s="11"/>
      <c r="C292" s="3"/>
      <c r="D292" s="4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 x14ac:dyDescent="0.15">
      <c r="A293" s="3"/>
      <c r="B293" s="11"/>
      <c r="C293" s="3"/>
      <c r="D293" s="4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 x14ac:dyDescent="0.15">
      <c r="A294" s="3"/>
      <c r="B294" s="11"/>
      <c r="C294" s="3"/>
      <c r="D294" s="4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 x14ac:dyDescent="0.15">
      <c r="A295" s="3"/>
      <c r="B295" s="11"/>
      <c r="C295" s="3"/>
      <c r="D295" s="4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 x14ac:dyDescent="0.15">
      <c r="A296" s="3"/>
      <c r="B296" s="11"/>
      <c r="C296" s="3"/>
      <c r="D296" s="4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 x14ac:dyDescent="0.15">
      <c r="A297" s="3"/>
      <c r="B297" s="11"/>
      <c r="C297" s="3"/>
      <c r="D297" s="4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 x14ac:dyDescent="0.15">
      <c r="A298" s="3"/>
      <c r="B298" s="11"/>
      <c r="C298" s="3"/>
      <c r="D298" s="4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 x14ac:dyDescent="0.15">
      <c r="A299" s="3"/>
      <c r="B299" s="11"/>
      <c r="C299" s="3"/>
      <c r="D299" s="4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 x14ac:dyDescent="0.15">
      <c r="A300" s="3"/>
      <c r="B300" s="11"/>
      <c r="C300" s="3"/>
      <c r="D300" s="4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 x14ac:dyDescent="0.15">
      <c r="A301" s="3"/>
      <c r="B301" s="11"/>
      <c r="C301" s="3"/>
      <c r="D301" s="4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 x14ac:dyDescent="0.15">
      <c r="A302" s="3"/>
      <c r="B302" s="11"/>
      <c r="C302" s="3"/>
      <c r="D302" s="4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 x14ac:dyDescent="0.15">
      <c r="A303" s="3"/>
      <c r="B303" s="11"/>
      <c r="C303" s="3"/>
      <c r="D303" s="4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 x14ac:dyDescent="0.15">
      <c r="A304" s="3"/>
      <c r="B304" s="11"/>
      <c r="C304" s="3"/>
      <c r="D304" s="4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 x14ac:dyDescent="0.15">
      <c r="A305" s="3"/>
      <c r="B305" s="11"/>
      <c r="C305" s="3"/>
      <c r="D305" s="4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 x14ac:dyDescent="0.15">
      <c r="A306" s="3"/>
      <c r="B306" s="11"/>
      <c r="C306" s="3"/>
      <c r="D306" s="4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 x14ac:dyDescent="0.15">
      <c r="A307" s="3"/>
      <c r="B307" s="11"/>
      <c r="C307" s="3"/>
      <c r="D307" s="4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 x14ac:dyDescent="0.15">
      <c r="A308" s="3"/>
      <c r="B308" s="11"/>
      <c r="C308" s="3"/>
      <c r="D308" s="4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 x14ac:dyDescent="0.15">
      <c r="A309" s="3"/>
      <c r="B309" s="11"/>
      <c r="C309" s="3"/>
      <c r="D309" s="4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 x14ac:dyDescent="0.15">
      <c r="A310" s="3"/>
      <c r="B310" s="11"/>
      <c r="C310" s="3"/>
      <c r="D310" s="4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 x14ac:dyDescent="0.15">
      <c r="A311" s="3"/>
      <c r="B311" s="11"/>
      <c r="C311" s="3"/>
      <c r="D311" s="4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 x14ac:dyDescent="0.15">
      <c r="A312" s="3"/>
      <c r="B312" s="11"/>
      <c r="C312" s="3"/>
      <c r="D312" s="4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 x14ac:dyDescent="0.15">
      <c r="A313" s="3"/>
      <c r="B313" s="11"/>
      <c r="C313" s="3"/>
      <c r="D313" s="4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 x14ac:dyDescent="0.15">
      <c r="A314" s="3"/>
      <c r="B314" s="11"/>
      <c r="C314" s="3"/>
      <c r="D314" s="4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 x14ac:dyDescent="0.15">
      <c r="A315" s="3"/>
      <c r="B315" s="11"/>
      <c r="C315" s="3"/>
      <c r="D315" s="4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 x14ac:dyDescent="0.15">
      <c r="A316" s="3"/>
      <c r="B316" s="11"/>
      <c r="C316" s="3"/>
      <c r="D316" s="4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 x14ac:dyDescent="0.15">
      <c r="A317" s="3"/>
      <c r="B317" s="11"/>
      <c r="C317" s="3"/>
      <c r="D317" s="4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 x14ac:dyDescent="0.15">
      <c r="A318" s="3"/>
      <c r="B318" s="11"/>
      <c r="C318" s="3"/>
      <c r="D318" s="4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 x14ac:dyDescent="0.15">
      <c r="A319" s="3"/>
      <c r="B319" s="11"/>
      <c r="C319" s="3"/>
      <c r="D319" s="4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 x14ac:dyDescent="0.15">
      <c r="A320" s="3"/>
      <c r="B320" s="11"/>
      <c r="C320" s="3"/>
      <c r="D320" s="4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 x14ac:dyDescent="0.15">
      <c r="A321" s="3"/>
      <c r="B321" s="11"/>
      <c r="C321" s="3"/>
      <c r="D321" s="4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 x14ac:dyDescent="0.15">
      <c r="A322" s="3"/>
      <c r="B322" s="11"/>
      <c r="C322" s="3"/>
      <c r="D322" s="4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 x14ac:dyDescent="0.15">
      <c r="A323" s="3"/>
      <c r="B323" s="11"/>
      <c r="C323" s="3"/>
      <c r="D323" s="4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 x14ac:dyDescent="0.15">
      <c r="A324" s="3"/>
      <c r="B324" s="11"/>
      <c r="C324" s="3"/>
      <c r="D324" s="4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 x14ac:dyDescent="0.15">
      <c r="A325" s="3"/>
      <c r="B325" s="11"/>
      <c r="C325" s="3"/>
      <c r="D325" s="4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 x14ac:dyDescent="0.15">
      <c r="A326" s="3"/>
      <c r="B326" s="11"/>
      <c r="C326" s="3"/>
      <c r="D326" s="4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 x14ac:dyDescent="0.15">
      <c r="A327" s="3"/>
      <c r="B327" s="11"/>
      <c r="C327" s="3"/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 x14ac:dyDescent="0.15">
      <c r="A328" s="3"/>
      <c r="B328" s="11"/>
      <c r="C328" s="3"/>
      <c r="D328" s="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 x14ac:dyDescent="0.15">
      <c r="A329" s="3"/>
      <c r="B329" s="11"/>
      <c r="C329" s="3"/>
      <c r="D329" s="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 x14ac:dyDescent="0.15">
      <c r="A330" s="3"/>
      <c r="B330" s="11"/>
      <c r="C330" s="3"/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 x14ac:dyDescent="0.15">
      <c r="A331" s="3"/>
      <c r="B331" s="11"/>
      <c r="C331" s="3"/>
      <c r="D331" s="4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 x14ac:dyDescent="0.15">
      <c r="A332" s="3"/>
      <c r="B332" s="11"/>
      <c r="C332" s="3"/>
      <c r="D332" s="4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 x14ac:dyDescent="0.15">
      <c r="A333" s="3"/>
      <c r="B333" s="11"/>
      <c r="C333" s="3"/>
      <c r="D333" s="4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 x14ac:dyDescent="0.15">
      <c r="A334" s="3"/>
      <c r="B334" s="11"/>
      <c r="C334" s="3"/>
      <c r="D334" s="4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 x14ac:dyDescent="0.15">
      <c r="A335" s="3"/>
      <c r="B335" s="11"/>
      <c r="C335" s="3"/>
      <c r="D335" s="4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 x14ac:dyDescent="0.15">
      <c r="A336" s="3"/>
      <c r="B336" s="11"/>
      <c r="C336" s="3"/>
      <c r="D336" s="4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 x14ac:dyDescent="0.15">
      <c r="A337" s="3"/>
      <c r="B337" s="11"/>
      <c r="C337" s="3"/>
      <c r="D337" s="4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 x14ac:dyDescent="0.15">
      <c r="A338" s="3"/>
      <c r="B338" s="11"/>
      <c r="C338" s="3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 x14ac:dyDescent="0.15">
      <c r="A339" s="3"/>
      <c r="B339" s="11"/>
      <c r="C339" s="3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 x14ac:dyDescent="0.15">
      <c r="A340" s="3"/>
      <c r="B340" s="11"/>
      <c r="C340" s="3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 x14ac:dyDescent="0.15">
      <c r="A341" s="3"/>
      <c r="B341" s="11"/>
      <c r="C341" s="3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 x14ac:dyDescent="0.15">
      <c r="A342" s="3"/>
      <c r="B342" s="11"/>
      <c r="C342" s="3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 x14ac:dyDescent="0.15">
      <c r="A343" s="3"/>
      <c r="B343" s="11"/>
      <c r="C343" s="3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 x14ac:dyDescent="0.15">
      <c r="A344" s="3"/>
      <c r="B344" s="11"/>
      <c r="C344" s="3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 x14ac:dyDescent="0.15">
      <c r="A345" s="3"/>
      <c r="B345" s="11"/>
      <c r="C345" s="3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 x14ac:dyDescent="0.15">
      <c r="A346" s="3"/>
      <c r="B346" s="11"/>
      <c r="C346" s="3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 x14ac:dyDescent="0.15">
      <c r="A347" s="3"/>
      <c r="B347" s="11"/>
      <c r="C347" s="3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 x14ac:dyDescent="0.15">
      <c r="A348" s="3"/>
      <c r="B348" s="11"/>
      <c r="C348" s="3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 x14ac:dyDescent="0.15">
      <c r="A349" s="3"/>
      <c r="B349" s="11"/>
      <c r="C349" s="3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 x14ac:dyDescent="0.15">
      <c r="A350" s="3"/>
      <c r="B350" s="11"/>
      <c r="C350" s="3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 x14ac:dyDescent="0.15">
      <c r="A351" s="3"/>
      <c r="B351" s="11"/>
      <c r="C351" s="3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 x14ac:dyDescent="0.15">
      <c r="A352" s="3"/>
      <c r="B352" s="11"/>
      <c r="C352" s="3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 x14ac:dyDescent="0.15">
      <c r="A353" s="3"/>
      <c r="B353" s="11"/>
      <c r="C353" s="3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 x14ac:dyDescent="0.15">
      <c r="A354" s="3"/>
      <c r="B354" s="11"/>
      <c r="C354" s="3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 x14ac:dyDescent="0.15">
      <c r="A355" s="3"/>
      <c r="B355" s="11"/>
      <c r="C355" s="3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 x14ac:dyDescent="0.15">
      <c r="A356" s="3"/>
      <c r="B356" s="11"/>
      <c r="C356" s="3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 x14ac:dyDescent="0.15">
      <c r="A357" s="3"/>
      <c r="B357" s="11"/>
      <c r="C357" s="3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 x14ac:dyDescent="0.15">
      <c r="A358" s="3"/>
      <c r="B358" s="11"/>
      <c r="C358" s="3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 x14ac:dyDescent="0.15">
      <c r="A359" s="3"/>
      <c r="B359" s="11"/>
      <c r="C359" s="3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 x14ac:dyDescent="0.15">
      <c r="A360" s="3"/>
      <c r="B360" s="11"/>
      <c r="C360" s="3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 x14ac:dyDescent="0.15">
      <c r="A361" s="3"/>
      <c r="B361" s="11"/>
      <c r="C361" s="3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 x14ac:dyDescent="0.15">
      <c r="A362" s="3"/>
      <c r="B362" s="11"/>
      <c r="C362" s="3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 x14ac:dyDescent="0.15">
      <c r="A363" s="3"/>
      <c r="B363" s="11"/>
      <c r="C363" s="3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 x14ac:dyDescent="0.15">
      <c r="A364" s="3"/>
      <c r="B364" s="11"/>
      <c r="C364" s="3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 x14ac:dyDescent="0.15">
      <c r="A365" s="3"/>
      <c r="B365" s="11"/>
      <c r="C365" s="3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 x14ac:dyDescent="0.15">
      <c r="A366" s="3"/>
      <c r="B366" s="11"/>
      <c r="C366" s="3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 x14ac:dyDescent="0.15">
      <c r="A367" s="3"/>
      <c r="B367" s="11"/>
      <c r="C367" s="3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 x14ac:dyDescent="0.15">
      <c r="A368" s="3"/>
      <c r="B368" s="11"/>
      <c r="C368" s="3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 x14ac:dyDescent="0.15">
      <c r="A369" s="3"/>
      <c r="B369" s="11"/>
      <c r="C369" s="3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 x14ac:dyDescent="0.15">
      <c r="A370" s="3"/>
      <c r="B370" s="11"/>
      <c r="C370" s="3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 x14ac:dyDescent="0.15">
      <c r="A371" s="3"/>
      <c r="B371" s="11"/>
      <c r="C371" s="3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 x14ac:dyDescent="0.15">
      <c r="A372" s="3"/>
      <c r="B372" s="11"/>
      <c r="C372" s="3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 x14ac:dyDescent="0.15">
      <c r="A373" s="3"/>
      <c r="B373" s="11"/>
      <c r="C373" s="3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 x14ac:dyDescent="0.15">
      <c r="A374" s="3"/>
      <c r="B374" s="11"/>
      <c r="C374" s="3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 x14ac:dyDescent="0.15">
      <c r="A375" s="3"/>
      <c r="B375" s="11"/>
      <c r="C375" s="3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 x14ac:dyDescent="0.15">
      <c r="A376" s="3"/>
      <c r="B376" s="11"/>
      <c r="C376" s="3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 x14ac:dyDescent="0.15">
      <c r="A377" s="3"/>
      <c r="B377" s="11"/>
      <c r="C377" s="3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 x14ac:dyDescent="0.15">
      <c r="A378" s="3"/>
      <c r="B378" s="11"/>
      <c r="C378" s="3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 x14ac:dyDescent="0.15">
      <c r="A379" s="3"/>
      <c r="B379" s="11"/>
      <c r="C379" s="3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 x14ac:dyDescent="0.15">
      <c r="A380" s="3"/>
      <c r="B380" s="11"/>
      <c r="C380" s="3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 x14ac:dyDescent="0.15">
      <c r="A381" s="3"/>
      <c r="B381" s="11"/>
      <c r="C381" s="3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 x14ac:dyDescent="0.15">
      <c r="A382" s="3"/>
      <c r="B382" s="11"/>
      <c r="C382" s="3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 x14ac:dyDescent="0.15">
      <c r="A383" s="3"/>
      <c r="B383" s="11"/>
      <c r="C383" s="3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 x14ac:dyDescent="0.15">
      <c r="A384" s="3"/>
      <c r="B384" s="11"/>
      <c r="C384" s="3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 x14ac:dyDescent="0.15">
      <c r="A385" s="3"/>
      <c r="B385" s="11"/>
      <c r="C385" s="3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 x14ac:dyDescent="0.15">
      <c r="A386" s="3"/>
      <c r="B386" s="11"/>
      <c r="C386" s="3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 x14ac:dyDescent="0.15">
      <c r="A387" s="3"/>
      <c r="B387" s="11"/>
      <c r="C387" s="3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 x14ac:dyDescent="0.15">
      <c r="A388" s="3"/>
      <c r="B388" s="11"/>
      <c r="C388" s="3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 x14ac:dyDescent="0.15">
      <c r="A389" s="3"/>
      <c r="B389" s="11"/>
      <c r="C389" s="3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 x14ac:dyDescent="0.15">
      <c r="A390" s="3"/>
      <c r="B390" s="11"/>
      <c r="C390" s="3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 x14ac:dyDescent="0.15">
      <c r="A391" s="3"/>
      <c r="B391" s="11"/>
      <c r="C391" s="3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 x14ac:dyDescent="0.15">
      <c r="A392" s="3"/>
      <c r="B392" s="11"/>
      <c r="C392" s="3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 x14ac:dyDescent="0.15">
      <c r="A393" s="3"/>
      <c r="B393" s="11"/>
      <c r="C393" s="3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 x14ac:dyDescent="0.15">
      <c r="A394" s="3"/>
      <c r="B394" s="11"/>
      <c r="C394" s="3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 x14ac:dyDescent="0.15">
      <c r="A395" s="3"/>
      <c r="B395" s="11"/>
      <c r="C395" s="3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 x14ac:dyDescent="0.15">
      <c r="A396" s="3"/>
      <c r="B396" s="11"/>
      <c r="C396" s="3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 x14ac:dyDescent="0.15">
      <c r="A397" s="3"/>
      <c r="B397" s="11"/>
      <c r="C397" s="3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 x14ac:dyDescent="0.15">
      <c r="A398" s="3"/>
      <c r="B398" s="11"/>
      <c r="C398" s="3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 x14ac:dyDescent="0.15">
      <c r="A399" s="3"/>
      <c r="B399" s="11"/>
      <c r="C399" s="3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 x14ac:dyDescent="0.15">
      <c r="A400" s="3"/>
      <c r="B400" s="11"/>
      <c r="C400" s="3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 x14ac:dyDescent="0.15">
      <c r="A401" s="3"/>
      <c r="B401" s="11"/>
      <c r="C401" s="3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 x14ac:dyDescent="0.15">
      <c r="A402" s="3"/>
      <c r="B402" s="11"/>
      <c r="C402" s="3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 x14ac:dyDescent="0.15">
      <c r="A403" s="3"/>
      <c r="B403" s="11"/>
      <c r="C403" s="3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 x14ac:dyDescent="0.15">
      <c r="A404" s="3"/>
      <c r="B404" s="11"/>
      <c r="C404" s="3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 x14ac:dyDescent="0.15">
      <c r="A405" s="3"/>
      <c r="B405" s="11"/>
      <c r="C405" s="3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 x14ac:dyDescent="0.15">
      <c r="A406" s="3"/>
      <c r="B406" s="11"/>
      <c r="C406" s="3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 x14ac:dyDescent="0.15">
      <c r="A407" s="3"/>
      <c r="B407" s="11"/>
      <c r="C407" s="3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 x14ac:dyDescent="0.15">
      <c r="A408" s="3"/>
      <c r="B408" s="11"/>
      <c r="C408" s="3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 x14ac:dyDescent="0.15">
      <c r="A409" s="3"/>
      <c r="B409" s="11"/>
      <c r="C409" s="3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 x14ac:dyDescent="0.15">
      <c r="A410" s="3"/>
      <c r="B410" s="11"/>
      <c r="C410" s="3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 x14ac:dyDescent="0.15">
      <c r="A411" s="3"/>
      <c r="B411" s="11"/>
      <c r="C411" s="3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 x14ac:dyDescent="0.15">
      <c r="A412" s="3"/>
      <c r="B412" s="11"/>
      <c r="C412" s="3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 x14ac:dyDescent="0.15">
      <c r="A413" s="3"/>
      <c r="B413" s="11"/>
      <c r="C413" s="3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 x14ac:dyDescent="0.15">
      <c r="A414" s="3"/>
      <c r="B414" s="11"/>
      <c r="C414" s="3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 x14ac:dyDescent="0.15">
      <c r="A415" s="3"/>
      <c r="B415" s="11"/>
      <c r="C415" s="3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 x14ac:dyDescent="0.15">
      <c r="A416" s="3"/>
      <c r="B416" s="11"/>
      <c r="C416" s="3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 x14ac:dyDescent="0.15">
      <c r="A417" s="3"/>
      <c r="B417" s="11"/>
      <c r="C417" s="3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 x14ac:dyDescent="0.15">
      <c r="A418" s="3"/>
      <c r="B418" s="11"/>
      <c r="C418" s="3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 x14ac:dyDescent="0.15">
      <c r="A419" s="3"/>
      <c r="B419" s="11"/>
      <c r="C419" s="3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 x14ac:dyDescent="0.15">
      <c r="A420" s="3"/>
      <c r="B420" s="11"/>
      <c r="C420" s="3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 x14ac:dyDescent="0.15">
      <c r="A421" s="3"/>
      <c r="B421" s="11"/>
      <c r="C421" s="3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 x14ac:dyDescent="0.15">
      <c r="A422" s="3"/>
      <c r="B422" s="11"/>
      <c r="C422" s="3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 x14ac:dyDescent="0.15">
      <c r="A423" s="3"/>
      <c r="B423" s="11"/>
      <c r="C423" s="3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 x14ac:dyDescent="0.15">
      <c r="A424" s="3"/>
      <c r="B424" s="11"/>
      <c r="C424" s="3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 x14ac:dyDescent="0.15">
      <c r="A425" s="3"/>
      <c r="B425" s="11"/>
      <c r="C425" s="3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 x14ac:dyDescent="0.15">
      <c r="A426" s="3"/>
      <c r="B426" s="11"/>
      <c r="C426" s="3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 x14ac:dyDescent="0.15">
      <c r="A427" s="3"/>
      <c r="B427" s="11"/>
      <c r="C427" s="3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 x14ac:dyDescent="0.15">
      <c r="A428" s="3"/>
      <c r="B428" s="11"/>
      <c r="C428" s="3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 x14ac:dyDescent="0.15">
      <c r="A429" s="3"/>
      <c r="B429" s="11"/>
      <c r="C429" s="3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 x14ac:dyDescent="0.15">
      <c r="A430" s="3"/>
      <c r="B430" s="11"/>
      <c r="C430" s="3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 x14ac:dyDescent="0.15">
      <c r="A431" s="3"/>
      <c r="B431" s="11"/>
      <c r="C431" s="3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 x14ac:dyDescent="0.15">
      <c r="A432" s="3"/>
      <c r="B432" s="11"/>
      <c r="C432" s="3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 x14ac:dyDescent="0.15">
      <c r="A433" s="3"/>
      <c r="B433" s="11"/>
      <c r="C433" s="3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 x14ac:dyDescent="0.15">
      <c r="A434" s="3"/>
      <c r="B434" s="11"/>
      <c r="C434" s="3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 x14ac:dyDescent="0.15">
      <c r="A435" s="3"/>
      <c r="B435" s="11"/>
      <c r="C435" s="3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 x14ac:dyDescent="0.15">
      <c r="A436" s="3"/>
      <c r="B436" s="11"/>
      <c r="C436" s="3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 x14ac:dyDescent="0.15">
      <c r="A437" s="3"/>
      <c r="B437" s="11"/>
      <c r="C437" s="3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 x14ac:dyDescent="0.15">
      <c r="A438" s="3"/>
      <c r="B438" s="11"/>
      <c r="C438" s="3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 x14ac:dyDescent="0.15">
      <c r="A439" s="3"/>
      <c r="B439" s="11"/>
      <c r="C439" s="3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 x14ac:dyDescent="0.15">
      <c r="A440" s="3"/>
      <c r="B440" s="11"/>
      <c r="C440" s="3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 x14ac:dyDescent="0.15">
      <c r="A441" s="3"/>
      <c r="B441" s="11"/>
      <c r="C441" s="3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 x14ac:dyDescent="0.15">
      <c r="A442" s="3"/>
      <c r="B442" s="11"/>
      <c r="C442" s="3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 x14ac:dyDescent="0.15">
      <c r="A443" s="3"/>
      <c r="B443" s="11"/>
      <c r="C443" s="3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 x14ac:dyDescent="0.15">
      <c r="A444" s="3"/>
      <c r="B444" s="11"/>
      <c r="C444" s="3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 x14ac:dyDescent="0.15">
      <c r="A445" s="3"/>
      <c r="B445" s="11"/>
      <c r="C445" s="3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 x14ac:dyDescent="0.15">
      <c r="A446" s="3"/>
      <c r="B446" s="11"/>
      <c r="C446" s="3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 x14ac:dyDescent="0.15">
      <c r="A447" s="3"/>
      <c r="B447" s="11"/>
      <c r="C447" s="3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 x14ac:dyDescent="0.15">
      <c r="A448" s="3"/>
      <c r="B448" s="11"/>
      <c r="C448" s="3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 x14ac:dyDescent="0.15">
      <c r="A449" s="3"/>
      <c r="B449" s="11"/>
      <c r="C449" s="3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 x14ac:dyDescent="0.15">
      <c r="A450" s="3"/>
      <c r="B450" s="11"/>
      <c r="C450" s="3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 x14ac:dyDescent="0.15">
      <c r="A451" s="3"/>
      <c r="B451" s="11"/>
      <c r="C451" s="3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 x14ac:dyDescent="0.15">
      <c r="A452" s="3"/>
      <c r="B452" s="11"/>
      <c r="C452" s="3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 x14ac:dyDescent="0.15">
      <c r="A453" s="3"/>
      <c r="B453" s="11"/>
      <c r="C453" s="3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 x14ac:dyDescent="0.15">
      <c r="A454" s="3"/>
      <c r="B454" s="11"/>
      <c r="C454" s="3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 x14ac:dyDescent="0.15">
      <c r="A455" s="3"/>
      <c r="B455" s="11"/>
      <c r="C455" s="3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 x14ac:dyDescent="0.15">
      <c r="A456" s="3"/>
      <c r="B456" s="11"/>
      <c r="C456" s="3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 x14ac:dyDescent="0.15">
      <c r="A457" s="3"/>
      <c r="B457" s="11"/>
      <c r="C457" s="3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 x14ac:dyDescent="0.15">
      <c r="A458" s="3"/>
      <c r="B458" s="11"/>
      <c r="C458" s="3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 x14ac:dyDescent="0.15">
      <c r="A459" s="3"/>
      <c r="B459" s="11"/>
      <c r="C459" s="3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 x14ac:dyDescent="0.15">
      <c r="A460" s="3"/>
      <c r="B460" s="11"/>
      <c r="C460" s="3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 x14ac:dyDescent="0.15">
      <c r="A461" s="3"/>
      <c r="B461" s="11"/>
      <c r="C461" s="3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 x14ac:dyDescent="0.15">
      <c r="A462" s="3"/>
      <c r="B462" s="11"/>
      <c r="C462" s="3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 x14ac:dyDescent="0.15">
      <c r="A463" s="3"/>
      <c r="B463" s="11"/>
      <c r="C463" s="3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 x14ac:dyDescent="0.15">
      <c r="A464" s="3"/>
      <c r="B464" s="11"/>
      <c r="C464" s="3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 x14ac:dyDescent="0.15">
      <c r="A465" s="3"/>
      <c r="B465" s="11"/>
      <c r="C465" s="3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 x14ac:dyDescent="0.15">
      <c r="A466" s="3"/>
      <c r="B466" s="11"/>
      <c r="C466" s="3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 x14ac:dyDescent="0.15">
      <c r="A467" s="3"/>
      <c r="B467" s="11"/>
      <c r="C467" s="3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 x14ac:dyDescent="0.15">
      <c r="A468" s="3"/>
      <c r="B468" s="11"/>
      <c r="C468" s="3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 x14ac:dyDescent="0.15">
      <c r="A469" s="3"/>
      <c r="B469" s="11"/>
      <c r="C469" s="3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 x14ac:dyDescent="0.15">
      <c r="A470" s="3"/>
      <c r="B470" s="11"/>
      <c r="C470" s="3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 x14ac:dyDescent="0.15">
      <c r="A471" s="3"/>
      <c r="B471" s="11"/>
      <c r="C471" s="3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 x14ac:dyDescent="0.15">
      <c r="A472" s="3"/>
      <c r="B472" s="11"/>
      <c r="C472" s="3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 x14ac:dyDescent="0.15">
      <c r="A473" s="3"/>
      <c r="B473" s="11"/>
      <c r="C473" s="3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 x14ac:dyDescent="0.15">
      <c r="A474" s="3"/>
      <c r="B474" s="11"/>
      <c r="C474" s="3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 x14ac:dyDescent="0.15">
      <c r="A475" s="3"/>
      <c r="B475" s="11"/>
      <c r="C475" s="3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 x14ac:dyDescent="0.15">
      <c r="A476" s="3"/>
      <c r="B476" s="11"/>
      <c r="C476" s="3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 x14ac:dyDescent="0.15">
      <c r="A477" s="3"/>
      <c r="B477" s="11"/>
      <c r="C477" s="3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 x14ac:dyDescent="0.15">
      <c r="A478" s="3"/>
      <c r="B478" s="11"/>
      <c r="C478" s="3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 x14ac:dyDescent="0.15">
      <c r="A479" s="3"/>
      <c r="B479" s="11"/>
      <c r="C479" s="3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 x14ac:dyDescent="0.15">
      <c r="A480" s="3"/>
      <c r="B480" s="11"/>
      <c r="C480" s="3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 x14ac:dyDescent="0.15">
      <c r="A481" s="3"/>
      <c r="B481" s="11"/>
      <c r="C481" s="3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 x14ac:dyDescent="0.15">
      <c r="A482" s="3"/>
      <c r="B482" s="11"/>
      <c r="C482" s="3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 x14ac:dyDescent="0.15">
      <c r="A483" s="3"/>
      <c r="B483" s="11"/>
      <c r="C483" s="3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 x14ac:dyDescent="0.15">
      <c r="A484" s="3"/>
      <c r="B484" s="11"/>
      <c r="C484" s="3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 x14ac:dyDescent="0.15">
      <c r="A485" s="3"/>
      <c r="B485" s="11"/>
      <c r="C485" s="3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 x14ac:dyDescent="0.15">
      <c r="A486" s="3"/>
      <c r="B486" s="11"/>
      <c r="C486" s="3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 x14ac:dyDescent="0.15">
      <c r="A487" s="3"/>
      <c r="B487" s="11"/>
      <c r="C487" s="3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 x14ac:dyDescent="0.15">
      <c r="A488" s="3"/>
      <c r="B488" s="11"/>
      <c r="C488" s="3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 x14ac:dyDescent="0.15">
      <c r="A489" s="3"/>
      <c r="B489" s="11"/>
      <c r="C489" s="3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 x14ac:dyDescent="0.15">
      <c r="A490" s="3"/>
      <c r="B490" s="11"/>
      <c r="C490" s="3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 x14ac:dyDescent="0.15">
      <c r="A491" s="3"/>
      <c r="B491" s="11"/>
      <c r="C491" s="3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 x14ac:dyDescent="0.15">
      <c r="A492" s="3"/>
      <c r="B492" s="11"/>
      <c r="C492" s="3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 x14ac:dyDescent="0.15">
      <c r="A493" s="3"/>
      <c r="B493" s="11"/>
      <c r="C493" s="3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 x14ac:dyDescent="0.15">
      <c r="A494" s="3"/>
      <c r="B494" s="11"/>
      <c r="C494" s="3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 x14ac:dyDescent="0.15">
      <c r="A495" s="3"/>
      <c r="B495" s="11"/>
      <c r="C495" s="3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 x14ac:dyDescent="0.15">
      <c r="A496" s="3"/>
      <c r="B496" s="11"/>
      <c r="C496" s="3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 x14ac:dyDescent="0.15">
      <c r="A497" s="3"/>
      <c r="B497" s="11"/>
      <c r="C497" s="3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 x14ac:dyDescent="0.15">
      <c r="A498" s="3"/>
      <c r="B498" s="11"/>
      <c r="C498" s="3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 x14ac:dyDescent="0.15">
      <c r="A499" s="3"/>
      <c r="B499" s="11"/>
      <c r="C499" s="3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 x14ac:dyDescent="0.15">
      <c r="A500" s="3"/>
      <c r="B500" s="11"/>
      <c r="C500" s="3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 x14ac:dyDescent="0.15">
      <c r="A501" s="3"/>
      <c r="B501" s="11"/>
      <c r="C501" s="3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 x14ac:dyDescent="0.15">
      <c r="A502" s="3"/>
      <c r="B502" s="11"/>
      <c r="C502" s="3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 x14ac:dyDescent="0.15">
      <c r="A503" s="3"/>
      <c r="B503" s="11"/>
      <c r="C503" s="3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 x14ac:dyDescent="0.15">
      <c r="A504" s="3"/>
      <c r="B504" s="11"/>
      <c r="C504" s="3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 x14ac:dyDescent="0.15">
      <c r="A505" s="3"/>
      <c r="B505" s="11"/>
      <c r="C505" s="3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 x14ac:dyDescent="0.15">
      <c r="A506" s="3"/>
      <c r="B506" s="11"/>
      <c r="C506" s="3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 x14ac:dyDescent="0.15">
      <c r="A507" s="3"/>
      <c r="B507" s="11"/>
      <c r="C507" s="3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 x14ac:dyDescent="0.15">
      <c r="A508" s="3"/>
      <c r="B508" s="11"/>
      <c r="C508" s="3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 x14ac:dyDescent="0.15">
      <c r="A509" s="3"/>
      <c r="B509" s="11"/>
      <c r="C509" s="3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 x14ac:dyDescent="0.15">
      <c r="A510" s="3"/>
      <c r="B510" s="11"/>
      <c r="C510" s="3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 x14ac:dyDescent="0.15">
      <c r="A511" s="3"/>
      <c r="B511" s="11"/>
      <c r="C511" s="3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 x14ac:dyDescent="0.15">
      <c r="A512" s="3"/>
      <c r="B512" s="11"/>
      <c r="C512" s="3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 x14ac:dyDescent="0.15">
      <c r="A513" s="3"/>
      <c r="B513" s="11"/>
      <c r="C513" s="3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 x14ac:dyDescent="0.15">
      <c r="A514" s="3"/>
      <c r="B514" s="11"/>
      <c r="C514" s="3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 x14ac:dyDescent="0.15">
      <c r="A515" s="3"/>
      <c r="B515" s="11"/>
      <c r="C515" s="3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 x14ac:dyDescent="0.15">
      <c r="A516" s="3"/>
      <c r="B516" s="11"/>
      <c r="C516" s="3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 x14ac:dyDescent="0.15">
      <c r="A517" s="3"/>
      <c r="B517" s="11"/>
      <c r="C517" s="3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 x14ac:dyDescent="0.15">
      <c r="A518" s="3"/>
      <c r="B518" s="11"/>
      <c r="C518" s="3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 x14ac:dyDescent="0.15">
      <c r="A519" s="3"/>
      <c r="B519" s="11"/>
      <c r="C519" s="3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 x14ac:dyDescent="0.15">
      <c r="A520" s="3"/>
      <c r="B520" s="11"/>
      <c r="C520" s="3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 x14ac:dyDescent="0.15">
      <c r="A521" s="3"/>
      <c r="B521" s="11"/>
      <c r="C521" s="3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 x14ac:dyDescent="0.15">
      <c r="A522" s="3"/>
      <c r="B522" s="11"/>
      <c r="C522" s="3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 x14ac:dyDescent="0.15">
      <c r="A523" s="3"/>
      <c r="B523" s="11"/>
      <c r="C523" s="3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 x14ac:dyDescent="0.15">
      <c r="A524" s="3"/>
      <c r="B524" s="11"/>
      <c r="C524" s="3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 x14ac:dyDescent="0.15">
      <c r="A525" s="3"/>
      <c r="B525" s="11"/>
      <c r="C525" s="3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 x14ac:dyDescent="0.15">
      <c r="A526" s="3"/>
      <c r="B526" s="11"/>
      <c r="C526" s="3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 x14ac:dyDescent="0.15">
      <c r="A527" s="3"/>
      <c r="B527" s="11"/>
      <c r="C527" s="3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 x14ac:dyDescent="0.15">
      <c r="A528" s="3"/>
      <c r="B528" s="11"/>
      <c r="C528" s="3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 x14ac:dyDescent="0.15">
      <c r="A529" s="3"/>
      <c r="B529" s="11"/>
      <c r="C529" s="3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 x14ac:dyDescent="0.15">
      <c r="A530" s="3"/>
      <c r="B530" s="11"/>
      <c r="C530" s="3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 x14ac:dyDescent="0.15">
      <c r="A531" s="3"/>
      <c r="B531" s="11"/>
      <c r="C531" s="3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 x14ac:dyDescent="0.15">
      <c r="A532" s="3"/>
      <c r="B532" s="11"/>
      <c r="C532" s="3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 x14ac:dyDescent="0.15">
      <c r="A533" s="3"/>
      <c r="B533" s="11"/>
      <c r="C533" s="3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 x14ac:dyDescent="0.15">
      <c r="A534" s="3"/>
      <c r="B534" s="11"/>
      <c r="C534" s="3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 x14ac:dyDescent="0.15">
      <c r="A535" s="3"/>
      <c r="B535" s="11"/>
      <c r="C535" s="3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 x14ac:dyDescent="0.15">
      <c r="A536" s="3"/>
      <c r="B536" s="11"/>
      <c r="C536" s="3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 x14ac:dyDescent="0.15">
      <c r="A537" s="3"/>
      <c r="B537" s="11"/>
      <c r="C537" s="3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 x14ac:dyDescent="0.15">
      <c r="A538" s="3"/>
      <c r="B538" s="11"/>
      <c r="C538" s="3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 x14ac:dyDescent="0.15">
      <c r="A539" s="3"/>
      <c r="B539" s="11"/>
      <c r="C539" s="3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 x14ac:dyDescent="0.15">
      <c r="A540" s="3"/>
      <c r="B540" s="11"/>
      <c r="C540" s="3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 x14ac:dyDescent="0.15">
      <c r="A541" s="3"/>
      <c r="B541" s="11"/>
      <c r="C541" s="3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 x14ac:dyDescent="0.15">
      <c r="A542" s="3"/>
      <c r="B542" s="11"/>
      <c r="C542" s="3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 x14ac:dyDescent="0.15">
      <c r="A543" s="3"/>
      <c r="B543" s="11"/>
      <c r="C543" s="3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 x14ac:dyDescent="0.15">
      <c r="A544" s="3"/>
      <c r="B544" s="11"/>
      <c r="C544" s="3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 x14ac:dyDescent="0.15">
      <c r="A545" s="3"/>
      <c r="B545" s="11"/>
      <c r="C545" s="3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 x14ac:dyDescent="0.15">
      <c r="A546" s="3"/>
      <c r="B546" s="11"/>
      <c r="C546" s="3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 x14ac:dyDescent="0.15">
      <c r="A547" s="3"/>
      <c r="B547" s="11"/>
      <c r="C547" s="3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 x14ac:dyDescent="0.15">
      <c r="A548" s="3"/>
      <c r="B548" s="11"/>
      <c r="C548" s="3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 x14ac:dyDescent="0.15">
      <c r="A549" s="3"/>
      <c r="B549" s="11"/>
      <c r="C549" s="3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 x14ac:dyDescent="0.15">
      <c r="A550" s="3"/>
      <c r="B550" s="11"/>
      <c r="C550" s="3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 x14ac:dyDescent="0.15">
      <c r="A551" s="3"/>
      <c r="B551" s="11"/>
      <c r="C551" s="3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 x14ac:dyDescent="0.15">
      <c r="A552" s="3"/>
      <c r="B552" s="11"/>
      <c r="C552" s="3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 x14ac:dyDescent="0.15">
      <c r="A553" s="3"/>
      <c r="B553" s="11"/>
      <c r="C553" s="3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 x14ac:dyDescent="0.15">
      <c r="A554" s="3"/>
      <c r="B554" s="11"/>
      <c r="C554" s="3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 x14ac:dyDescent="0.15">
      <c r="A555" s="3"/>
      <c r="B555" s="11"/>
      <c r="C555" s="3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 x14ac:dyDescent="0.15">
      <c r="A556" s="3"/>
      <c r="B556" s="11"/>
      <c r="C556" s="3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 x14ac:dyDescent="0.15">
      <c r="A557" s="3"/>
      <c r="B557" s="11"/>
      <c r="C557" s="3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 x14ac:dyDescent="0.15">
      <c r="A558" s="3"/>
      <c r="B558" s="11"/>
      <c r="C558" s="3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 x14ac:dyDescent="0.15">
      <c r="A559" s="3"/>
      <c r="B559" s="11"/>
      <c r="C559" s="3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 x14ac:dyDescent="0.15">
      <c r="A560" s="3"/>
      <c r="B560" s="11"/>
      <c r="C560" s="3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 x14ac:dyDescent="0.15">
      <c r="A561" s="3"/>
      <c r="B561" s="11"/>
      <c r="C561" s="3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 x14ac:dyDescent="0.15">
      <c r="A562" s="3"/>
      <c r="B562" s="11"/>
      <c r="C562" s="3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 x14ac:dyDescent="0.15">
      <c r="A563" s="3"/>
      <c r="B563" s="11"/>
      <c r="C563" s="3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 x14ac:dyDescent="0.15">
      <c r="A564" s="3"/>
      <c r="B564" s="11"/>
      <c r="C564" s="3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 x14ac:dyDescent="0.15">
      <c r="A565" s="3"/>
      <c r="B565" s="11"/>
      <c r="C565" s="3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 x14ac:dyDescent="0.15">
      <c r="A566" s="3"/>
      <c r="B566" s="11"/>
      <c r="C566" s="3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 x14ac:dyDescent="0.15">
      <c r="A567" s="3"/>
      <c r="B567" s="11"/>
      <c r="C567" s="3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 x14ac:dyDescent="0.15">
      <c r="A568" s="3"/>
      <c r="B568" s="11"/>
      <c r="C568" s="3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 x14ac:dyDescent="0.15">
      <c r="A569" s="3"/>
      <c r="B569" s="11"/>
      <c r="C569" s="3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 x14ac:dyDescent="0.15">
      <c r="A570" s="3"/>
      <c r="B570" s="11"/>
      <c r="C570" s="3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 x14ac:dyDescent="0.15">
      <c r="A571" s="3"/>
      <c r="B571" s="11"/>
      <c r="C571" s="3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 x14ac:dyDescent="0.15">
      <c r="A572" s="3"/>
      <c r="B572" s="11"/>
      <c r="C572" s="3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 x14ac:dyDescent="0.15">
      <c r="A573" s="3"/>
      <c r="B573" s="11"/>
      <c r="C573" s="3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 x14ac:dyDescent="0.15">
      <c r="A574" s="3"/>
      <c r="B574" s="11"/>
      <c r="C574" s="3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 x14ac:dyDescent="0.15">
      <c r="A575" s="3"/>
      <c r="B575" s="11"/>
      <c r="C575" s="3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 x14ac:dyDescent="0.15">
      <c r="A576" s="3"/>
      <c r="B576" s="11"/>
      <c r="C576" s="3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 x14ac:dyDescent="0.15">
      <c r="A577" s="3"/>
      <c r="B577" s="11"/>
      <c r="C577" s="3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 x14ac:dyDescent="0.15">
      <c r="A578" s="3"/>
      <c r="B578" s="11"/>
      <c r="C578" s="3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 x14ac:dyDescent="0.15">
      <c r="A579" s="3"/>
      <c r="B579" s="11"/>
      <c r="C579" s="3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 x14ac:dyDescent="0.15">
      <c r="A580" s="3"/>
      <c r="B580" s="11"/>
      <c r="C580" s="3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 x14ac:dyDescent="0.15">
      <c r="A581" s="3"/>
      <c r="B581" s="11"/>
      <c r="C581" s="3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 x14ac:dyDescent="0.15">
      <c r="A582" s="3"/>
      <c r="B582" s="11"/>
      <c r="C582" s="3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 x14ac:dyDescent="0.15">
      <c r="A583" s="3"/>
      <c r="B583" s="11"/>
      <c r="C583" s="3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 x14ac:dyDescent="0.15">
      <c r="A584" s="3"/>
      <c r="B584" s="11"/>
      <c r="C584" s="3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 x14ac:dyDescent="0.15">
      <c r="A585" s="3"/>
      <c r="B585" s="11"/>
      <c r="C585" s="3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 x14ac:dyDescent="0.15">
      <c r="A586" s="3"/>
      <c r="B586" s="11"/>
      <c r="C586" s="3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 x14ac:dyDescent="0.15">
      <c r="A587" s="3"/>
      <c r="B587" s="11"/>
      <c r="C587" s="3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 x14ac:dyDescent="0.15">
      <c r="A588" s="3"/>
      <c r="B588" s="11"/>
      <c r="C588" s="3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 x14ac:dyDescent="0.15">
      <c r="A589" s="3"/>
      <c r="B589" s="11"/>
      <c r="C589" s="3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 x14ac:dyDescent="0.15">
      <c r="A590" s="3"/>
      <c r="B590" s="11"/>
      <c r="C590" s="3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 x14ac:dyDescent="0.15">
      <c r="A591" s="3"/>
      <c r="B591" s="11"/>
      <c r="C591" s="3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 x14ac:dyDescent="0.15">
      <c r="A592" s="3"/>
      <c r="B592" s="11"/>
      <c r="C592" s="3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 x14ac:dyDescent="0.15">
      <c r="A593" s="3"/>
      <c r="B593" s="11"/>
      <c r="C593" s="3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 x14ac:dyDescent="0.15">
      <c r="A594" s="3"/>
      <c r="B594" s="11"/>
      <c r="C594" s="3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 x14ac:dyDescent="0.15">
      <c r="A595" s="3"/>
      <c r="B595" s="11"/>
      <c r="C595" s="3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 x14ac:dyDescent="0.15">
      <c r="A596" s="3"/>
      <c r="B596" s="11"/>
      <c r="C596" s="3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 x14ac:dyDescent="0.15">
      <c r="A597" s="3"/>
      <c r="B597" s="11"/>
      <c r="C597" s="3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 x14ac:dyDescent="0.15">
      <c r="A598" s="3"/>
      <c r="B598" s="11"/>
      <c r="C598" s="3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 x14ac:dyDescent="0.15">
      <c r="A599" s="3"/>
      <c r="B599" s="11"/>
      <c r="C599" s="3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 x14ac:dyDescent="0.15">
      <c r="A600" s="3"/>
      <c r="B600" s="11"/>
      <c r="C600" s="3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 x14ac:dyDescent="0.15">
      <c r="A601" s="3"/>
      <c r="B601" s="11"/>
      <c r="C601" s="3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 x14ac:dyDescent="0.15">
      <c r="A602" s="3"/>
      <c r="B602" s="11"/>
      <c r="C602" s="3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 x14ac:dyDescent="0.15">
      <c r="A603" s="3"/>
      <c r="B603" s="11"/>
      <c r="C603" s="3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 x14ac:dyDescent="0.15">
      <c r="A604" s="3"/>
      <c r="B604" s="11"/>
      <c r="C604" s="3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 x14ac:dyDescent="0.15">
      <c r="A605" s="3"/>
      <c r="B605" s="11"/>
      <c r="C605" s="3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 x14ac:dyDescent="0.15">
      <c r="A606" s="3"/>
      <c r="B606" s="11"/>
      <c r="C606" s="3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 x14ac:dyDescent="0.15">
      <c r="A607" s="3"/>
      <c r="B607" s="11"/>
      <c r="C607" s="3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 x14ac:dyDescent="0.15">
      <c r="A608" s="3"/>
      <c r="B608" s="11"/>
      <c r="C608" s="3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 x14ac:dyDescent="0.15">
      <c r="A609" s="3"/>
      <c r="B609" s="11"/>
      <c r="C609" s="3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 x14ac:dyDescent="0.15">
      <c r="A610" s="3"/>
      <c r="B610" s="11"/>
      <c r="C610" s="3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 x14ac:dyDescent="0.15">
      <c r="A611" s="3"/>
      <c r="B611" s="11"/>
      <c r="C611" s="3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 x14ac:dyDescent="0.15">
      <c r="A612" s="3"/>
      <c r="B612" s="11"/>
      <c r="C612" s="3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 x14ac:dyDescent="0.15">
      <c r="A613" s="3"/>
      <c r="B613" s="11"/>
      <c r="C613" s="3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 x14ac:dyDescent="0.15">
      <c r="A614" s="3"/>
      <c r="B614" s="11"/>
      <c r="C614" s="3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 x14ac:dyDescent="0.15">
      <c r="A615" s="3"/>
      <c r="B615" s="11"/>
      <c r="C615" s="3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 x14ac:dyDescent="0.15">
      <c r="A616" s="3"/>
      <c r="B616" s="11"/>
      <c r="C616" s="3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 x14ac:dyDescent="0.15">
      <c r="A617" s="3"/>
      <c r="B617" s="11"/>
      <c r="C617" s="3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 x14ac:dyDescent="0.15">
      <c r="A618" s="3"/>
      <c r="B618" s="11"/>
      <c r="C618" s="3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 x14ac:dyDescent="0.15">
      <c r="A619" s="3"/>
      <c r="B619" s="11"/>
      <c r="C619" s="3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 x14ac:dyDescent="0.15">
      <c r="A620" s="3"/>
      <c r="B620" s="11"/>
      <c r="C620" s="3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 x14ac:dyDescent="0.15">
      <c r="A621" s="3"/>
      <c r="B621" s="11"/>
      <c r="C621" s="3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 x14ac:dyDescent="0.15">
      <c r="A622" s="3"/>
      <c r="B622" s="11"/>
      <c r="C622" s="3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 x14ac:dyDescent="0.15">
      <c r="A623" s="3"/>
      <c r="B623" s="11"/>
      <c r="C623" s="3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 x14ac:dyDescent="0.15">
      <c r="A624" s="3"/>
      <c r="B624" s="11"/>
      <c r="C624" s="3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 x14ac:dyDescent="0.15">
      <c r="A625" s="3"/>
      <c r="B625" s="11"/>
      <c r="C625" s="3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 x14ac:dyDescent="0.15">
      <c r="A626" s="3"/>
      <c r="B626" s="11"/>
      <c r="C626" s="3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 x14ac:dyDescent="0.15">
      <c r="A627" s="3"/>
      <c r="B627" s="11"/>
      <c r="C627" s="3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 x14ac:dyDescent="0.15">
      <c r="A628" s="3"/>
      <c r="B628" s="11"/>
      <c r="C628" s="3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 x14ac:dyDescent="0.15">
      <c r="A629" s="3"/>
      <c r="B629" s="11"/>
      <c r="C629" s="3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 x14ac:dyDescent="0.15">
      <c r="A630" s="3"/>
      <c r="B630" s="11"/>
      <c r="C630" s="3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 x14ac:dyDescent="0.15">
      <c r="A631" s="3"/>
      <c r="B631" s="11"/>
      <c r="C631" s="3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 x14ac:dyDescent="0.15">
      <c r="A632" s="3"/>
      <c r="B632" s="11"/>
      <c r="C632" s="3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 x14ac:dyDescent="0.15">
      <c r="A633" s="3"/>
      <c r="B633" s="11"/>
      <c r="C633" s="3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 x14ac:dyDescent="0.15">
      <c r="A634" s="3"/>
      <c r="B634" s="11"/>
      <c r="C634" s="3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 x14ac:dyDescent="0.15">
      <c r="A635" s="3"/>
      <c r="B635" s="11"/>
      <c r="C635" s="3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 x14ac:dyDescent="0.15">
      <c r="A636" s="3"/>
      <c r="B636" s="11"/>
      <c r="C636" s="3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 x14ac:dyDescent="0.15">
      <c r="A637" s="3"/>
      <c r="B637" s="11"/>
      <c r="C637" s="3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 x14ac:dyDescent="0.15">
      <c r="A638" s="3"/>
      <c r="B638" s="11"/>
      <c r="C638" s="3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 x14ac:dyDescent="0.15">
      <c r="A639" s="3"/>
      <c r="B639" s="11"/>
      <c r="C639" s="3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 x14ac:dyDescent="0.15">
      <c r="A640" s="3"/>
      <c r="B640" s="11"/>
      <c r="C640" s="3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 x14ac:dyDescent="0.15">
      <c r="A641" s="3"/>
      <c r="B641" s="11"/>
      <c r="C641" s="3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 x14ac:dyDescent="0.15">
      <c r="A642" s="3"/>
      <c r="B642" s="11"/>
      <c r="C642" s="3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 x14ac:dyDescent="0.15">
      <c r="A643" s="3"/>
      <c r="B643" s="11"/>
      <c r="C643" s="3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 x14ac:dyDescent="0.15">
      <c r="A644" s="3"/>
      <c r="B644" s="11"/>
      <c r="C644" s="3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 x14ac:dyDescent="0.15">
      <c r="A645" s="3"/>
      <c r="B645" s="11"/>
      <c r="C645" s="3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 x14ac:dyDescent="0.15">
      <c r="A646" s="3"/>
      <c r="B646" s="11"/>
      <c r="C646" s="3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 x14ac:dyDescent="0.15">
      <c r="A647" s="3"/>
      <c r="B647" s="11"/>
      <c r="C647" s="3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 x14ac:dyDescent="0.15">
      <c r="A648" s="3"/>
      <c r="B648" s="11"/>
      <c r="C648" s="3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 x14ac:dyDescent="0.15">
      <c r="A649" s="3"/>
      <c r="B649" s="11"/>
      <c r="C649" s="3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 x14ac:dyDescent="0.15">
      <c r="A650" s="3"/>
      <c r="B650" s="11"/>
      <c r="C650" s="3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 x14ac:dyDescent="0.15">
      <c r="A651" s="3"/>
      <c r="B651" s="11"/>
      <c r="C651" s="3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 x14ac:dyDescent="0.15">
      <c r="A652" s="3"/>
      <c r="B652" s="11"/>
      <c r="C652" s="3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 x14ac:dyDescent="0.15">
      <c r="A653" s="3"/>
      <c r="B653" s="11"/>
      <c r="C653" s="3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 x14ac:dyDescent="0.15">
      <c r="A654" s="3"/>
      <c r="B654" s="11"/>
      <c r="C654" s="3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 x14ac:dyDescent="0.15">
      <c r="A655" s="3"/>
      <c r="B655" s="11"/>
      <c r="C655" s="3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 x14ac:dyDescent="0.15">
      <c r="A656" s="3"/>
      <c r="B656" s="11"/>
      <c r="C656" s="3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 x14ac:dyDescent="0.15">
      <c r="A657" s="3"/>
      <c r="B657" s="11"/>
      <c r="C657" s="3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 x14ac:dyDescent="0.15">
      <c r="A658" s="3"/>
      <c r="B658" s="11"/>
      <c r="C658" s="3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 x14ac:dyDescent="0.15">
      <c r="A659" s="3"/>
      <c r="B659" s="11"/>
      <c r="C659" s="3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 x14ac:dyDescent="0.15">
      <c r="A660" s="3"/>
      <c r="B660" s="11"/>
      <c r="C660" s="3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 x14ac:dyDescent="0.15">
      <c r="A661" s="3"/>
      <c r="B661" s="11"/>
      <c r="C661" s="3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 x14ac:dyDescent="0.15">
      <c r="A662" s="3"/>
      <c r="B662" s="11"/>
      <c r="C662" s="3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 x14ac:dyDescent="0.15">
      <c r="A663" s="3"/>
      <c r="B663" s="11"/>
      <c r="C663" s="3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 x14ac:dyDescent="0.15">
      <c r="A664" s="3"/>
      <c r="B664" s="11"/>
      <c r="C664" s="3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 x14ac:dyDescent="0.15">
      <c r="A665" s="3"/>
      <c r="B665" s="11"/>
      <c r="C665" s="3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 x14ac:dyDescent="0.15">
      <c r="A666" s="3"/>
      <c r="B666" s="11"/>
      <c r="C666" s="3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 x14ac:dyDescent="0.15">
      <c r="A667" s="3"/>
      <c r="B667" s="11"/>
      <c r="C667" s="3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 x14ac:dyDescent="0.15">
      <c r="A668" s="3"/>
      <c r="B668" s="11"/>
      <c r="C668" s="3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 x14ac:dyDescent="0.15">
      <c r="A669" s="3"/>
      <c r="B669" s="11"/>
      <c r="C669" s="3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 x14ac:dyDescent="0.15">
      <c r="A670" s="3"/>
      <c r="B670" s="11"/>
      <c r="C670" s="3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 x14ac:dyDescent="0.15">
      <c r="A671" s="3"/>
      <c r="B671" s="11"/>
      <c r="C671" s="3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 x14ac:dyDescent="0.15">
      <c r="A672" s="3"/>
      <c r="B672" s="11"/>
      <c r="C672" s="3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 x14ac:dyDescent="0.15">
      <c r="A673" s="3"/>
      <c r="B673" s="11"/>
      <c r="C673" s="3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 x14ac:dyDescent="0.15">
      <c r="A674" s="3"/>
      <c r="B674" s="11"/>
      <c r="C674" s="3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 x14ac:dyDescent="0.15">
      <c r="A675" s="3"/>
      <c r="B675" s="11"/>
      <c r="C675" s="3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 x14ac:dyDescent="0.15">
      <c r="A676" s="3"/>
      <c r="B676" s="11"/>
      <c r="C676" s="3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 x14ac:dyDescent="0.15">
      <c r="A677" s="3"/>
      <c r="B677" s="11"/>
      <c r="C677" s="3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 x14ac:dyDescent="0.15">
      <c r="A678" s="3"/>
      <c r="B678" s="11"/>
      <c r="C678" s="3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 x14ac:dyDescent="0.15">
      <c r="A679" s="3"/>
      <c r="B679" s="11"/>
      <c r="C679" s="3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 x14ac:dyDescent="0.15">
      <c r="A680" s="3"/>
      <c r="B680" s="11"/>
      <c r="C680" s="3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 x14ac:dyDescent="0.15">
      <c r="A681" s="3"/>
      <c r="B681" s="11"/>
      <c r="C681" s="3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 x14ac:dyDescent="0.15">
      <c r="A682" s="3"/>
      <c r="B682" s="11"/>
      <c r="C682" s="3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 x14ac:dyDescent="0.15">
      <c r="A683" s="3"/>
      <c r="B683" s="11"/>
      <c r="C683" s="3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 x14ac:dyDescent="0.15">
      <c r="A684" s="3"/>
      <c r="B684" s="11"/>
      <c r="C684" s="3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 x14ac:dyDescent="0.15">
      <c r="A685" s="3"/>
      <c r="B685" s="11"/>
      <c r="C685" s="3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 x14ac:dyDescent="0.15">
      <c r="A686" s="3"/>
      <c r="B686" s="11"/>
      <c r="C686" s="3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 x14ac:dyDescent="0.15">
      <c r="A687" s="3"/>
      <c r="B687" s="11"/>
      <c r="C687" s="3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 x14ac:dyDescent="0.15">
      <c r="A688" s="3"/>
      <c r="B688" s="11"/>
      <c r="C688" s="3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 x14ac:dyDescent="0.15">
      <c r="A689" s="3"/>
      <c r="B689" s="11"/>
      <c r="C689" s="3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 x14ac:dyDescent="0.15">
      <c r="A690" s="3"/>
      <c r="B690" s="11"/>
      <c r="C690" s="3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 x14ac:dyDescent="0.15">
      <c r="A691" s="3"/>
      <c r="B691" s="11"/>
      <c r="C691" s="3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 x14ac:dyDescent="0.15">
      <c r="A692" s="3"/>
      <c r="B692" s="11"/>
      <c r="C692" s="3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 x14ac:dyDescent="0.15">
      <c r="A693" s="3"/>
      <c r="B693" s="11"/>
      <c r="C693" s="3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 x14ac:dyDescent="0.15">
      <c r="A694" s="3"/>
      <c r="B694" s="11"/>
      <c r="C694" s="3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 x14ac:dyDescent="0.15">
      <c r="A695" s="3"/>
      <c r="B695" s="11"/>
      <c r="C695" s="3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 x14ac:dyDescent="0.15">
      <c r="A696" s="3"/>
      <c r="B696" s="11"/>
      <c r="C696" s="3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 x14ac:dyDescent="0.15">
      <c r="A697" s="3"/>
      <c r="B697" s="11"/>
      <c r="C697" s="3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 x14ac:dyDescent="0.15">
      <c r="A698" s="3"/>
      <c r="B698" s="11"/>
      <c r="C698" s="3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 x14ac:dyDescent="0.15">
      <c r="A699" s="3"/>
      <c r="B699" s="11"/>
      <c r="C699" s="3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 x14ac:dyDescent="0.15">
      <c r="A700" s="3"/>
      <c r="B700" s="11"/>
      <c r="C700" s="3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 x14ac:dyDescent="0.15">
      <c r="A701" s="3"/>
      <c r="B701" s="11"/>
      <c r="C701" s="3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 x14ac:dyDescent="0.15">
      <c r="A702" s="3"/>
      <c r="B702" s="11"/>
      <c r="C702" s="3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 x14ac:dyDescent="0.15">
      <c r="A703" s="3"/>
      <c r="B703" s="11"/>
      <c r="C703" s="3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 x14ac:dyDescent="0.15">
      <c r="A704" s="3"/>
      <c r="B704" s="11"/>
      <c r="C704" s="3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 x14ac:dyDescent="0.15">
      <c r="A705" s="3"/>
      <c r="B705" s="11"/>
      <c r="C705" s="3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 x14ac:dyDescent="0.15">
      <c r="A706" s="3"/>
      <c r="B706" s="11"/>
      <c r="C706" s="3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 x14ac:dyDescent="0.15">
      <c r="A707" s="3"/>
      <c r="B707" s="11"/>
      <c r="C707" s="3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 x14ac:dyDescent="0.15">
      <c r="A708" s="3"/>
      <c r="B708" s="11"/>
      <c r="C708" s="3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 x14ac:dyDescent="0.15">
      <c r="A709" s="3"/>
      <c r="B709" s="11"/>
      <c r="C709" s="3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 x14ac:dyDescent="0.15">
      <c r="A710" s="3"/>
      <c r="B710" s="11"/>
      <c r="C710" s="3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 x14ac:dyDescent="0.15">
      <c r="A711" s="3"/>
      <c r="B711" s="11"/>
      <c r="C711" s="3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 x14ac:dyDescent="0.15">
      <c r="A712" s="3"/>
      <c r="B712" s="11"/>
      <c r="C712" s="3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 x14ac:dyDescent="0.15">
      <c r="A713" s="3"/>
      <c r="B713" s="11"/>
      <c r="C713" s="3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 x14ac:dyDescent="0.15">
      <c r="A714" s="3"/>
      <c r="B714" s="11"/>
      <c r="C714" s="3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 x14ac:dyDescent="0.15">
      <c r="A715" s="3"/>
      <c r="B715" s="11"/>
      <c r="C715" s="3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 x14ac:dyDescent="0.15">
      <c r="A716" s="3"/>
      <c r="B716" s="11"/>
      <c r="C716" s="3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 x14ac:dyDescent="0.15">
      <c r="A717" s="3"/>
      <c r="B717" s="11"/>
      <c r="C717" s="3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 x14ac:dyDescent="0.15">
      <c r="A718" s="3"/>
      <c r="B718" s="11"/>
      <c r="C718" s="3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 x14ac:dyDescent="0.15">
      <c r="A719" s="3"/>
      <c r="B719" s="11"/>
      <c r="C719" s="3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 x14ac:dyDescent="0.15">
      <c r="A720" s="3"/>
      <c r="B720" s="11"/>
      <c r="C720" s="3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 x14ac:dyDescent="0.15">
      <c r="A721" s="3"/>
      <c r="B721" s="11"/>
      <c r="C721" s="3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 x14ac:dyDescent="0.15">
      <c r="A722" s="3"/>
      <c r="B722" s="11"/>
      <c r="C722" s="3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 x14ac:dyDescent="0.15">
      <c r="A723" s="3"/>
      <c r="B723" s="11"/>
      <c r="C723" s="3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 x14ac:dyDescent="0.15">
      <c r="A724" s="3"/>
      <c r="B724" s="11"/>
      <c r="C724" s="3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 x14ac:dyDescent="0.15">
      <c r="A725" s="3"/>
      <c r="B725" s="11"/>
      <c r="C725" s="3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 x14ac:dyDescent="0.15">
      <c r="A726" s="3"/>
      <c r="B726" s="11"/>
      <c r="C726" s="3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 x14ac:dyDescent="0.15">
      <c r="A727" s="3"/>
      <c r="B727" s="11"/>
      <c r="C727" s="3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 x14ac:dyDescent="0.15">
      <c r="A728" s="3"/>
      <c r="B728" s="11"/>
      <c r="C728" s="3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 x14ac:dyDescent="0.15">
      <c r="A729" s="3"/>
      <c r="B729" s="11"/>
      <c r="C729" s="3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 x14ac:dyDescent="0.15">
      <c r="A730" s="3"/>
      <c r="B730" s="11"/>
      <c r="C730" s="3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 x14ac:dyDescent="0.15">
      <c r="A731" s="3"/>
      <c r="B731" s="11"/>
      <c r="C731" s="3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 x14ac:dyDescent="0.15">
      <c r="A732" s="3"/>
      <c r="B732" s="11"/>
      <c r="C732" s="3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 x14ac:dyDescent="0.15">
      <c r="A733" s="3"/>
      <c r="B733" s="11"/>
      <c r="C733" s="3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 x14ac:dyDescent="0.15">
      <c r="A734" s="3"/>
      <c r="B734" s="11"/>
      <c r="C734" s="3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 x14ac:dyDescent="0.15">
      <c r="A735" s="3"/>
      <c r="B735" s="11"/>
      <c r="C735" s="3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 x14ac:dyDescent="0.15">
      <c r="A736" s="3"/>
      <c r="B736" s="11"/>
      <c r="C736" s="3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 x14ac:dyDescent="0.15">
      <c r="A737" s="3"/>
      <c r="B737" s="11"/>
      <c r="C737" s="3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 x14ac:dyDescent="0.15">
      <c r="A738" s="3"/>
      <c r="B738" s="11"/>
      <c r="C738" s="3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 x14ac:dyDescent="0.15">
      <c r="A739" s="3"/>
      <c r="B739" s="11"/>
      <c r="C739" s="3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 x14ac:dyDescent="0.15">
      <c r="A740" s="3"/>
      <c r="B740" s="11"/>
      <c r="C740" s="3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 x14ac:dyDescent="0.15">
      <c r="A741" s="3"/>
      <c r="B741" s="11"/>
      <c r="C741" s="3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 x14ac:dyDescent="0.15">
      <c r="A742" s="3"/>
      <c r="B742" s="11"/>
      <c r="C742" s="3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 x14ac:dyDescent="0.15">
      <c r="A743" s="3"/>
      <c r="B743" s="11"/>
      <c r="C743" s="3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 x14ac:dyDescent="0.15">
      <c r="A744" s="3"/>
      <c r="B744" s="11"/>
      <c r="C744" s="3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 x14ac:dyDescent="0.15">
      <c r="A745" s="3"/>
      <c r="B745" s="11"/>
      <c r="C745" s="3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 x14ac:dyDescent="0.15">
      <c r="A746" s="3"/>
      <c r="B746" s="11"/>
      <c r="C746" s="3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 x14ac:dyDescent="0.15">
      <c r="A747" s="3"/>
      <c r="B747" s="11"/>
      <c r="C747" s="3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 x14ac:dyDescent="0.15">
      <c r="A748" s="3"/>
      <c r="B748" s="11"/>
      <c r="C748" s="3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 x14ac:dyDescent="0.15">
      <c r="A749" s="3"/>
      <c r="B749" s="11"/>
      <c r="C749" s="3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 x14ac:dyDescent="0.15">
      <c r="A750" s="3"/>
      <c r="B750" s="11"/>
      <c r="C750" s="3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 x14ac:dyDescent="0.15">
      <c r="A751" s="3"/>
      <c r="B751" s="11"/>
      <c r="C751" s="3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 x14ac:dyDescent="0.15">
      <c r="A752" s="3"/>
      <c r="B752" s="11"/>
      <c r="C752" s="3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 x14ac:dyDescent="0.15">
      <c r="A753" s="3"/>
      <c r="B753" s="11"/>
      <c r="C753" s="3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 x14ac:dyDescent="0.15">
      <c r="A754" s="3"/>
      <c r="B754" s="11"/>
      <c r="C754" s="3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 x14ac:dyDescent="0.15">
      <c r="A755" s="3"/>
      <c r="B755" s="11"/>
      <c r="C755" s="3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 x14ac:dyDescent="0.15">
      <c r="A756" s="3"/>
      <c r="B756" s="11"/>
      <c r="C756" s="3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 x14ac:dyDescent="0.15">
      <c r="A757" s="3"/>
      <c r="B757" s="11"/>
      <c r="C757" s="3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 x14ac:dyDescent="0.15">
      <c r="A758" s="3"/>
      <c r="B758" s="11"/>
      <c r="C758" s="3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 x14ac:dyDescent="0.15">
      <c r="A759" s="3"/>
      <c r="B759" s="11"/>
      <c r="C759" s="3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 x14ac:dyDescent="0.15">
      <c r="A760" s="3"/>
      <c r="B760" s="11"/>
      <c r="C760" s="3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 x14ac:dyDescent="0.15">
      <c r="A761" s="3"/>
      <c r="B761" s="11"/>
      <c r="C761" s="3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 x14ac:dyDescent="0.15">
      <c r="A762" s="3"/>
      <c r="B762" s="11"/>
      <c r="C762" s="3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 x14ac:dyDescent="0.15">
      <c r="A763" s="3"/>
      <c r="B763" s="11"/>
      <c r="C763" s="3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 x14ac:dyDescent="0.15">
      <c r="A764" s="3"/>
      <c r="B764" s="11"/>
      <c r="C764" s="3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 x14ac:dyDescent="0.15">
      <c r="A765" s="3"/>
      <c r="B765" s="11"/>
      <c r="C765" s="3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 x14ac:dyDescent="0.15">
      <c r="A766" s="3"/>
      <c r="B766" s="11"/>
      <c r="C766" s="3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 x14ac:dyDescent="0.15">
      <c r="A767" s="3"/>
      <c r="B767" s="11"/>
      <c r="C767" s="3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 x14ac:dyDescent="0.15">
      <c r="A768" s="3"/>
      <c r="B768" s="11"/>
      <c r="C768" s="3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 x14ac:dyDescent="0.15">
      <c r="A769" s="3"/>
      <c r="B769" s="11"/>
      <c r="C769" s="3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 x14ac:dyDescent="0.15">
      <c r="A770" s="3"/>
      <c r="B770" s="11"/>
      <c r="C770" s="3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 x14ac:dyDescent="0.15">
      <c r="A771" s="3"/>
      <c r="B771" s="11"/>
      <c r="C771" s="3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 x14ac:dyDescent="0.15">
      <c r="A772" s="3"/>
      <c r="B772" s="11"/>
      <c r="C772" s="3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 x14ac:dyDescent="0.15">
      <c r="A773" s="3"/>
      <c r="B773" s="11"/>
      <c r="C773" s="3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 x14ac:dyDescent="0.15">
      <c r="A774" s="3"/>
      <c r="B774" s="11"/>
      <c r="C774" s="3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 x14ac:dyDescent="0.15">
      <c r="A775" s="3"/>
      <c r="B775" s="11"/>
      <c r="C775" s="3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 x14ac:dyDescent="0.15">
      <c r="A776" s="3"/>
      <c r="B776" s="11"/>
      <c r="C776" s="3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 x14ac:dyDescent="0.15">
      <c r="A777" s="3"/>
      <c r="B777" s="11"/>
      <c r="C777" s="3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 x14ac:dyDescent="0.15">
      <c r="A778" s="3"/>
      <c r="B778" s="11"/>
      <c r="C778" s="3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 x14ac:dyDescent="0.15">
      <c r="A779" s="3"/>
      <c r="B779" s="11"/>
      <c r="C779" s="3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 x14ac:dyDescent="0.15">
      <c r="A780" s="3"/>
      <c r="B780" s="11"/>
      <c r="C780" s="3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 x14ac:dyDescent="0.15">
      <c r="A781" s="3"/>
      <c r="B781" s="11"/>
      <c r="C781" s="3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 x14ac:dyDescent="0.15">
      <c r="A782" s="3"/>
      <c r="B782" s="11"/>
      <c r="C782" s="3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 x14ac:dyDescent="0.15">
      <c r="A783" s="3"/>
      <c r="B783" s="11"/>
      <c r="C783" s="3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 x14ac:dyDescent="0.15">
      <c r="A784" s="3"/>
      <c r="B784" s="11"/>
      <c r="C784" s="3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 x14ac:dyDescent="0.15">
      <c r="A785" s="3"/>
      <c r="B785" s="11"/>
      <c r="C785" s="3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 x14ac:dyDescent="0.15">
      <c r="A786" s="3"/>
      <c r="B786" s="11"/>
      <c r="C786" s="3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 x14ac:dyDescent="0.15">
      <c r="A787" s="3"/>
      <c r="B787" s="11"/>
      <c r="C787" s="3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 x14ac:dyDescent="0.15">
      <c r="A788" s="3"/>
      <c r="B788" s="11"/>
      <c r="C788" s="3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 x14ac:dyDescent="0.15">
      <c r="A789" s="3"/>
      <c r="B789" s="11"/>
      <c r="C789" s="3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 x14ac:dyDescent="0.15">
      <c r="A790" s="3"/>
      <c r="B790" s="11"/>
      <c r="C790" s="3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 x14ac:dyDescent="0.15">
      <c r="A791" s="3"/>
      <c r="B791" s="11"/>
      <c r="C791" s="3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 x14ac:dyDescent="0.15">
      <c r="A792" s="3"/>
      <c r="B792" s="11"/>
      <c r="C792" s="3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 x14ac:dyDescent="0.15">
      <c r="A793" s="3"/>
      <c r="B793" s="11"/>
      <c r="C793" s="3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 x14ac:dyDescent="0.15">
      <c r="A794" s="3"/>
      <c r="B794" s="11"/>
      <c r="C794" s="3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 x14ac:dyDescent="0.15">
      <c r="A795" s="3"/>
      <c r="B795" s="11"/>
      <c r="C795" s="3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 x14ac:dyDescent="0.15">
      <c r="A796" s="3"/>
      <c r="B796" s="11"/>
      <c r="C796" s="3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 x14ac:dyDescent="0.15">
      <c r="A797" s="3"/>
      <c r="B797" s="11"/>
      <c r="C797" s="3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 x14ac:dyDescent="0.15">
      <c r="A798" s="3"/>
      <c r="B798" s="11"/>
      <c r="C798" s="3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 x14ac:dyDescent="0.15">
      <c r="A799" s="3"/>
      <c r="B799" s="11"/>
      <c r="C799" s="3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 x14ac:dyDescent="0.15">
      <c r="A800" s="3"/>
      <c r="B800" s="11"/>
      <c r="C800" s="3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 x14ac:dyDescent="0.15">
      <c r="A801" s="3"/>
      <c r="B801" s="11"/>
      <c r="C801" s="3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 x14ac:dyDescent="0.15">
      <c r="A802" s="3"/>
      <c r="B802" s="11"/>
      <c r="C802" s="3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 x14ac:dyDescent="0.15">
      <c r="A803" s="3"/>
      <c r="B803" s="11"/>
      <c r="C803" s="3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 x14ac:dyDescent="0.15">
      <c r="A804" s="3"/>
      <c r="B804" s="11"/>
      <c r="C804" s="3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 x14ac:dyDescent="0.15">
      <c r="A805" s="3"/>
      <c r="B805" s="11"/>
      <c r="C805" s="3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 x14ac:dyDescent="0.15">
      <c r="A806" s="3"/>
      <c r="B806" s="11"/>
      <c r="C806" s="3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 x14ac:dyDescent="0.15">
      <c r="A807" s="3"/>
      <c r="B807" s="11"/>
      <c r="C807" s="3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 x14ac:dyDescent="0.15">
      <c r="A808" s="3"/>
      <c r="B808" s="11"/>
      <c r="C808" s="3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 x14ac:dyDescent="0.15">
      <c r="A809" s="3"/>
      <c r="B809" s="11"/>
      <c r="C809" s="3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 x14ac:dyDescent="0.15">
      <c r="A810" s="3"/>
      <c r="B810" s="11"/>
      <c r="C810" s="3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 x14ac:dyDescent="0.15">
      <c r="A811" s="3"/>
      <c r="B811" s="11"/>
      <c r="C811" s="3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 x14ac:dyDescent="0.15">
      <c r="A812" s="3"/>
      <c r="B812" s="11"/>
      <c r="C812" s="3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 x14ac:dyDescent="0.15">
      <c r="A813" s="3"/>
      <c r="B813" s="11"/>
      <c r="C813" s="3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 x14ac:dyDescent="0.15">
      <c r="A814" s="3"/>
      <c r="B814" s="11"/>
      <c r="C814" s="3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 x14ac:dyDescent="0.15">
      <c r="A815" s="3"/>
      <c r="B815" s="11"/>
      <c r="C815" s="3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 x14ac:dyDescent="0.15">
      <c r="A816" s="3"/>
      <c r="B816" s="11"/>
      <c r="C816" s="3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 x14ac:dyDescent="0.15">
      <c r="A817" s="3"/>
      <c r="B817" s="11"/>
      <c r="C817" s="3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 x14ac:dyDescent="0.15">
      <c r="A818" s="3"/>
      <c r="B818" s="11"/>
      <c r="C818" s="3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 x14ac:dyDescent="0.15">
      <c r="A819" s="3"/>
      <c r="B819" s="11"/>
      <c r="C819" s="3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 x14ac:dyDescent="0.15">
      <c r="A820" s="3"/>
      <c r="B820" s="11"/>
      <c r="C820" s="3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 x14ac:dyDescent="0.15">
      <c r="A821" s="3"/>
      <c r="B821" s="11"/>
      <c r="C821" s="3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 x14ac:dyDescent="0.15">
      <c r="A822" s="3"/>
      <c r="B822" s="11"/>
      <c r="C822" s="3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 x14ac:dyDescent="0.15">
      <c r="A823" s="3"/>
      <c r="B823" s="11"/>
      <c r="C823" s="3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 x14ac:dyDescent="0.15">
      <c r="A824" s="3"/>
      <c r="B824" s="11"/>
      <c r="C824" s="3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 x14ac:dyDescent="0.15">
      <c r="A825" s="3"/>
      <c r="B825" s="11"/>
      <c r="C825" s="3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 x14ac:dyDescent="0.15">
      <c r="A826" s="3"/>
      <c r="B826" s="11"/>
      <c r="C826" s="3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 x14ac:dyDescent="0.15">
      <c r="A827" s="3"/>
      <c r="B827" s="11"/>
      <c r="C827" s="3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 x14ac:dyDescent="0.15">
      <c r="A828" s="3"/>
      <c r="B828" s="11"/>
      <c r="C828" s="3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 x14ac:dyDescent="0.15">
      <c r="A829" s="3"/>
      <c r="B829" s="11"/>
      <c r="C829" s="3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 x14ac:dyDescent="0.15">
      <c r="A830" s="3"/>
      <c r="B830" s="11"/>
      <c r="C830" s="3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 x14ac:dyDescent="0.15">
      <c r="A831" s="3"/>
      <c r="B831" s="11"/>
      <c r="C831" s="3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 x14ac:dyDescent="0.15">
      <c r="A832" s="3"/>
      <c r="B832" s="11"/>
      <c r="C832" s="3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 x14ac:dyDescent="0.15">
      <c r="A833" s="3"/>
      <c r="B833" s="11"/>
      <c r="C833" s="3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 x14ac:dyDescent="0.15">
      <c r="A834" s="3"/>
      <c r="B834" s="11"/>
      <c r="C834" s="3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 x14ac:dyDescent="0.15">
      <c r="A835" s="3"/>
      <c r="B835" s="11"/>
      <c r="C835" s="3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 x14ac:dyDescent="0.15">
      <c r="A836" s="3"/>
      <c r="B836" s="11"/>
      <c r="C836" s="3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 x14ac:dyDescent="0.15">
      <c r="A837" s="3"/>
      <c r="B837" s="11"/>
      <c r="C837" s="3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 x14ac:dyDescent="0.15">
      <c r="A838" s="3"/>
      <c r="B838" s="11"/>
      <c r="C838" s="3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 x14ac:dyDescent="0.15">
      <c r="A839" s="3"/>
      <c r="B839" s="11"/>
      <c r="C839" s="3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 x14ac:dyDescent="0.15">
      <c r="A840" s="3"/>
      <c r="B840" s="11"/>
      <c r="C840" s="3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 x14ac:dyDescent="0.15">
      <c r="A841" s="3"/>
      <c r="B841" s="11"/>
      <c r="C841" s="3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 x14ac:dyDescent="0.15">
      <c r="A842" s="3"/>
      <c r="B842" s="11"/>
      <c r="C842" s="3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 x14ac:dyDescent="0.15">
      <c r="A843" s="3"/>
      <c r="B843" s="11"/>
      <c r="C843" s="3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 x14ac:dyDescent="0.15">
      <c r="A844" s="3"/>
      <c r="B844" s="11"/>
      <c r="C844" s="3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 x14ac:dyDescent="0.15">
      <c r="A845" s="3"/>
      <c r="B845" s="11"/>
      <c r="C845" s="3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 x14ac:dyDescent="0.15">
      <c r="A846" s="3"/>
      <c r="B846" s="11"/>
      <c r="C846" s="3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 x14ac:dyDescent="0.15">
      <c r="A847" s="3"/>
      <c r="B847" s="11"/>
      <c r="C847" s="3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 x14ac:dyDescent="0.15">
      <c r="A848" s="3"/>
      <c r="B848" s="11"/>
      <c r="C848" s="3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 x14ac:dyDescent="0.15">
      <c r="A849" s="3"/>
      <c r="B849" s="11"/>
      <c r="C849" s="3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 x14ac:dyDescent="0.15">
      <c r="A850" s="3"/>
      <c r="B850" s="11"/>
      <c r="C850" s="3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 x14ac:dyDescent="0.15">
      <c r="A851" s="3"/>
      <c r="B851" s="11"/>
      <c r="C851" s="3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 x14ac:dyDescent="0.15">
      <c r="A852" s="3"/>
      <c r="B852" s="11"/>
      <c r="C852" s="3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 x14ac:dyDescent="0.15">
      <c r="A853" s="3"/>
      <c r="B853" s="11"/>
      <c r="C853" s="3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 x14ac:dyDescent="0.15">
      <c r="A854" s="3"/>
      <c r="B854" s="11"/>
      <c r="C854" s="3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 x14ac:dyDescent="0.15">
      <c r="A855" s="3"/>
      <c r="B855" s="11"/>
      <c r="C855" s="3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 x14ac:dyDescent="0.15">
      <c r="A856" s="3"/>
      <c r="B856" s="11"/>
      <c r="C856" s="3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 x14ac:dyDescent="0.15">
      <c r="A857" s="3"/>
      <c r="B857" s="11"/>
      <c r="C857" s="3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 x14ac:dyDescent="0.15">
      <c r="A858" s="3"/>
      <c r="B858" s="11"/>
      <c r="C858" s="3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 x14ac:dyDescent="0.15">
      <c r="A859" s="3"/>
      <c r="B859" s="11"/>
      <c r="C859" s="3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 x14ac:dyDescent="0.15">
      <c r="A860" s="3"/>
      <c r="B860" s="11"/>
      <c r="C860" s="3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 x14ac:dyDescent="0.15">
      <c r="A861" s="3"/>
      <c r="B861" s="11"/>
      <c r="C861" s="3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 x14ac:dyDescent="0.15">
      <c r="A862" s="3"/>
      <c r="B862" s="11"/>
      <c r="C862" s="3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 x14ac:dyDescent="0.15">
      <c r="A863" s="3"/>
      <c r="B863" s="11"/>
      <c r="C863" s="3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 x14ac:dyDescent="0.15">
      <c r="A864" s="3"/>
      <c r="B864" s="11"/>
      <c r="C864" s="3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 x14ac:dyDescent="0.15">
      <c r="A865" s="3"/>
      <c r="B865" s="11"/>
      <c r="C865" s="3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 x14ac:dyDescent="0.15">
      <c r="A866" s="3"/>
      <c r="B866" s="11"/>
      <c r="C866" s="3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 x14ac:dyDescent="0.15">
      <c r="A867" s="3"/>
      <c r="B867" s="11"/>
      <c r="C867" s="3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 x14ac:dyDescent="0.15">
      <c r="A868" s="3"/>
      <c r="B868" s="11"/>
      <c r="C868" s="3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 x14ac:dyDescent="0.15">
      <c r="A869" s="3"/>
      <c r="B869" s="11"/>
      <c r="C869" s="3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 x14ac:dyDescent="0.15">
      <c r="A870" s="3"/>
      <c r="B870" s="11"/>
      <c r="C870" s="3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 x14ac:dyDescent="0.15">
      <c r="A871" s="3"/>
      <c r="B871" s="11"/>
      <c r="C871" s="3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 x14ac:dyDescent="0.15">
      <c r="A872" s="3"/>
      <c r="B872" s="11"/>
      <c r="C872" s="3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 x14ac:dyDescent="0.15">
      <c r="A873" s="3"/>
      <c r="B873" s="11"/>
      <c r="C873" s="3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 x14ac:dyDescent="0.15">
      <c r="A874" s="3"/>
      <c r="B874" s="11"/>
      <c r="C874" s="3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 x14ac:dyDescent="0.15">
      <c r="A875" s="3"/>
      <c r="B875" s="11"/>
      <c r="C875" s="3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 x14ac:dyDescent="0.15">
      <c r="A876" s="3"/>
      <c r="B876" s="11"/>
      <c r="C876" s="3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 x14ac:dyDescent="0.15">
      <c r="A877" s="3"/>
      <c r="B877" s="11"/>
      <c r="C877" s="3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 x14ac:dyDescent="0.15">
      <c r="A878" s="3"/>
      <c r="B878" s="11"/>
      <c r="C878" s="3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 x14ac:dyDescent="0.15">
      <c r="A879" s="3"/>
      <c r="B879" s="11"/>
      <c r="C879" s="3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 x14ac:dyDescent="0.15">
      <c r="A880" s="3"/>
      <c r="B880" s="11"/>
      <c r="C880" s="3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 x14ac:dyDescent="0.15">
      <c r="A881" s="3"/>
      <c r="B881" s="11"/>
      <c r="C881" s="3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 x14ac:dyDescent="0.15">
      <c r="A882" s="3"/>
      <c r="B882" s="11"/>
      <c r="C882" s="3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 x14ac:dyDescent="0.15">
      <c r="A883" s="3"/>
      <c r="B883" s="11"/>
      <c r="C883" s="3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 x14ac:dyDescent="0.15">
      <c r="A884" s="3"/>
      <c r="B884" s="11"/>
      <c r="C884" s="3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 x14ac:dyDescent="0.15">
      <c r="A885" s="3"/>
      <c r="B885" s="11"/>
      <c r="C885" s="3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 x14ac:dyDescent="0.15">
      <c r="A886" s="3"/>
      <c r="B886" s="11"/>
      <c r="C886" s="3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 x14ac:dyDescent="0.15">
      <c r="A887" s="3"/>
      <c r="B887" s="11"/>
      <c r="C887" s="3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 x14ac:dyDescent="0.15">
      <c r="A888" s="3"/>
      <c r="B888" s="11"/>
      <c r="C888" s="3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 x14ac:dyDescent="0.15">
      <c r="A889" s="3"/>
      <c r="B889" s="11"/>
      <c r="C889" s="3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 x14ac:dyDescent="0.15">
      <c r="A890" s="3"/>
      <c r="B890" s="11"/>
      <c r="C890" s="3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 x14ac:dyDescent="0.15">
      <c r="A891" s="3"/>
      <c r="B891" s="11"/>
      <c r="C891" s="3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 x14ac:dyDescent="0.15">
      <c r="A892" s="3"/>
      <c r="B892" s="11"/>
      <c r="C892" s="3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 x14ac:dyDescent="0.15">
      <c r="A893" s="3"/>
      <c r="B893" s="11"/>
      <c r="C893" s="3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 x14ac:dyDescent="0.15">
      <c r="A894" s="3"/>
      <c r="B894" s="11"/>
      <c r="C894" s="3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 x14ac:dyDescent="0.15">
      <c r="A895" s="3"/>
      <c r="B895" s="11"/>
      <c r="C895" s="3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 x14ac:dyDescent="0.15">
      <c r="A896" s="3"/>
      <c r="B896" s="11"/>
      <c r="C896" s="3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 x14ac:dyDescent="0.15">
      <c r="A897" s="3"/>
      <c r="B897" s="11"/>
      <c r="C897" s="3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 x14ac:dyDescent="0.15">
      <c r="A898" s="3"/>
      <c r="B898" s="11"/>
      <c r="C898" s="3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 x14ac:dyDescent="0.15">
      <c r="A899" s="3"/>
      <c r="B899" s="11"/>
      <c r="C899" s="3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 x14ac:dyDescent="0.15">
      <c r="A900" s="3"/>
      <c r="B900" s="11"/>
      <c r="C900" s="3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 x14ac:dyDescent="0.15">
      <c r="A901" s="3"/>
      <c r="B901" s="11"/>
      <c r="C901" s="3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 x14ac:dyDescent="0.15">
      <c r="A902" s="3"/>
      <c r="B902" s="11"/>
      <c r="C902" s="3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 x14ac:dyDescent="0.15">
      <c r="A903" s="3"/>
      <c r="B903" s="11"/>
      <c r="C903" s="3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 x14ac:dyDescent="0.15">
      <c r="A904" s="3"/>
      <c r="B904" s="11"/>
      <c r="C904" s="3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 x14ac:dyDescent="0.15">
      <c r="A905" s="3"/>
      <c r="B905" s="11"/>
      <c r="C905" s="3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 x14ac:dyDescent="0.15">
      <c r="A906" s="3"/>
      <c r="B906" s="11"/>
      <c r="C906" s="3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 x14ac:dyDescent="0.15">
      <c r="A907" s="3"/>
      <c r="B907" s="11"/>
      <c r="C907" s="3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 x14ac:dyDescent="0.15">
      <c r="A908" s="3"/>
      <c r="B908" s="11"/>
      <c r="C908" s="3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 x14ac:dyDescent="0.15">
      <c r="A909" s="3"/>
      <c r="B909" s="11"/>
      <c r="C909" s="3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 x14ac:dyDescent="0.15">
      <c r="A910" s="3"/>
      <c r="B910" s="11"/>
      <c r="C910" s="3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 x14ac:dyDescent="0.15">
      <c r="A911" s="3"/>
      <c r="B911" s="11"/>
      <c r="C911" s="3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 x14ac:dyDescent="0.15">
      <c r="A912" s="3"/>
      <c r="B912" s="11"/>
      <c r="C912" s="3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 x14ac:dyDescent="0.15">
      <c r="A913" s="3"/>
      <c r="B913" s="11"/>
      <c r="C913" s="3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 x14ac:dyDescent="0.15">
      <c r="A914" s="3"/>
      <c r="B914" s="11"/>
      <c r="C914" s="3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 x14ac:dyDescent="0.15">
      <c r="A915" s="3"/>
      <c r="B915" s="11"/>
      <c r="C915" s="3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 x14ac:dyDescent="0.15">
      <c r="A916" s="3"/>
      <c r="B916" s="11"/>
      <c r="C916" s="3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 x14ac:dyDescent="0.15">
      <c r="A917" s="3"/>
      <c r="B917" s="11"/>
      <c r="C917" s="3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 x14ac:dyDescent="0.15">
      <c r="A918" s="3"/>
      <c r="B918" s="11"/>
      <c r="C918" s="3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 x14ac:dyDescent="0.15">
      <c r="A919" s="3"/>
      <c r="B919" s="11"/>
      <c r="C919" s="3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 x14ac:dyDescent="0.15">
      <c r="A920" s="3"/>
      <c r="B920" s="11"/>
      <c r="C920" s="3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 x14ac:dyDescent="0.15">
      <c r="A921" s="3"/>
      <c r="B921" s="11"/>
      <c r="C921" s="3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 x14ac:dyDescent="0.15">
      <c r="A922" s="3"/>
      <c r="B922" s="11"/>
      <c r="C922" s="3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 x14ac:dyDescent="0.15">
      <c r="A923" s="3"/>
      <c r="B923" s="11"/>
      <c r="C923" s="3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 x14ac:dyDescent="0.15">
      <c r="A924" s="3"/>
      <c r="B924" s="11"/>
      <c r="C924" s="3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 x14ac:dyDescent="0.15">
      <c r="A925" s="3"/>
      <c r="B925" s="11"/>
      <c r="C925" s="3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 x14ac:dyDescent="0.15">
      <c r="A926" s="3"/>
      <c r="B926" s="11"/>
      <c r="C926" s="3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 x14ac:dyDescent="0.15">
      <c r="A927" s="3"/>
      <c r="B927" s="11"/>
      <c r="C927" s="3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 x14ac:dyDescent="0.15">
      <c r="A928" s="3"/>
      <c r="B928" s="11"/>
      <c r="C928" s="3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customHeight="1" x14ac:dyDescent="0.15">
      <c r="A929" s="3"/>
      <c r="B929" s="11"/>
      <c r="C929" s="3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customHeight="1" x14ac:dyDescent="0.15">
      <c r="A930" s="3"/>
      <c r="B930" s="11"/>
      <c r="C930" s="3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customHeight="1" x14ac:dyDescent="0.15">
      <c r="A931" s="3"/>
      <c r="B931" s="11"/>
      <c r="C931" s="3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customHeight="1" x14ac:dyDescent="0.15">
      <c r="A932" s="3"/>
      <c r="B932" s="11"/>
      <c r="C932" s="3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customHeight="1" x14ac:dyDescent="0.15">
      <c r="A933" s="3"/>
      <c r="B933" s="11"/>
      <c r="C933" s="3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customHeight="1" x14ac:dyDescent="0.15">
      <c r="A934" s="3"/>
      <c r="B934" s="11"/>
      <c r="C934" s="3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customHeight="1" x14ac:dyDescent="0.15">
      <c r="A935" s="3"/>
      <c r="B935" s="11"/>
      <c r="C935" s="3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customHeight="1" x14ac:dyDescent="0.15">
      <c r="A936" s="3"/>
      <c r="B936" s="11"/>
      <c r="C936" s="3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customHeight="1" x14ac:dyDescent="0.15">
      <c r="A937" s="3"/>
      <c r="B937" s="11"/>
      <c r="C937" s="3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customHeight="1" x14ac:dyDescent="0.15">
      <c r="A938" s="3"/>
      <c r="B938" s="11"/>
      <c r="C938" s="3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customHeight="1" x14ac:dyDescent="0.15">
      <c r="A939" s="3"/>
      <c r="B939" s="11"/>
      <c r="C939" s="3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customHeight="1" x14ac:dyDescent="0.15">
      <c r="A940" s="3"/>
      <c r="B940" s="11"/>
      <c r="C940" s="3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customHeight="1" x14ac:dyDescent="0.15">
      <c r="A941" s="3"/>
      <c r="B941" s="11"/>
      <c r="C941" s="3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customHeight="1" x14ac:dyDescent="0.15">
      <c r="A942" s="3"/>
      <c r="B942" s="11"/>
      <c r="C942" s="3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customHeight="1" x14ac:dyDescent="0.15">
      <c r="A943" s="3"/>
      <c r="B943" s="11"/>
      <c r="C943" s="3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customHeight="1" x14ac:dyDescent="0.15">
      <c r="A944" s="3"/>
      <c r="B944" s="11"/>
      <c r="C944" s="3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customHeight="1" x14ac:dyDescent="0.15">
      <c r="A945" s="3"/>
      <c r="B945" s="11"/>
      <c r="C945" s="3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customHeight="1" x14ac:dyDescent="0.15">
      <c r="A946" s="3"/>
      <c r="B946" s="11"/>
      <c r="C946" s="3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customHeight="1" x14ac:dyDescent="0.15">
      <c r="A947" s="3"/>
      <c r="B947" s="11"/>
      <c r="C947" s="3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customHeight="1" x14ac:dyDescent="0.15">
      <c r="A948" s="3"/>
      <c r="B948" s="11"/>
      <c r="C948" s="3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customHeight="1" x14ac:dyDescent="0.15">
      <c r="A949" s="3"/>
      <c r="B949" s="11"/>
      <c r="C949" s="3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customHeight="1" x14ac:dyDescent="0.15">
      <c r="A950" s="3"/>
      <c r="B950" s="11"/>
      <c r="C950" s="3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customHeight="1" x14ac:dyDescent="0.15">
      <c r="A951" s="3"/>
      <c r="B951" s="11"/>
      <c r="C951" s="3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customHeight="1" x14ac:dyDescent="0.15">
      <c r="A952" s="3"/>
      <c r="B952" s="11"/>
      <c r="C952" s="3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customHeight="1" x14ac:dyDescent="0.15">
      <c r="A953" s="3"/>
      <c r="B953" s="11"/>
      <c r="C953" s="3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customHeight="1" x14ac:dyDescent="0.15">
      <c r="A954" s="3"/>
      <c r="B954" s="11"/>
      <c r="C954" s="3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customHeight="1" x14ac:dyDescent="0.15">
      <c r="A955" s="3"/>
      <c r="B955" s="11"/>
      <c r="C955" s="3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 customHeight="1" x14ac:dyDescent="0.15">
      <c r="A956" s="3"/>
      <c r="B956" s="11"/>
      <c r="C956" s="3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 customHeight="1" x14ac:dyDescent="0.15">
      <c r="A957" s="3"/>
      <c r="B957" s="11"/>
      <c r="C957" s="3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 customHeight="1" x14ac:dyDescent="0.15">
      <c r="A958" s="3"/>
      <c r="B958" s="11"/>
      <c r="C958" s="3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 customHeight="1" x14ac:dyDescent="0.15">
      <c r="A959" s="3"/>
      <c r="B959" s="11"/>
      <c r="C959" s="3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 customHeight="1" x14ac:dyDescent="0.15">
      <c r="A960" s="3"/>
      <c r="B960" s="11"/>
      <c r="C960" s="3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 customHeight="1" x14ac:dyDescent="0.15">
      <c r="A961" s="3"/>
      <c r="B961" s="11"/>
      <c r="C961" s="3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 customHeight="1" x14ac:dyDescent="0.15">
      <c r="A962" s="3"/>
      <c r="B962" s="11"/>
      <c r="C962" s="3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 customHeight="1" x14ac:dyDescent="0.15">
      <c r="A963" s="3"/>
      <c r="B963" s="11"/>
      <c r="C963" s="3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 customHeight="1" x14ac:dyDescent="0.15">
      <c r="A964" s="3"/>
      <c r="B964" s="11"/>
      <c r="C964" s="3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 customHeight="1" x14ac:dyDescent="0.15">
      <c r="A965" s="3"/>
      <c r="B965" s="11"/>
      <c r="C965" s="3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 customHeight="1" x14ac:dyDescent="0.15">
      <c r="A966" s="3"/>
      <c r="B966" s="11"/>
      <c r="C966" s="3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 customHeight="1" x14ac:dyDescent="0.15">
      <c r="A967" s="3"/>
      <c r="B967" s="11"/>
      <c r="C967" s="3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 customHeight="1" x14ac:dyDescent="0.15">
      <c r="A968" s="3"/>
      <c r="B968" s="11"/>
      <c r="C968" s="3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 customHeight="1" x14ac:dyDescent="0.15">
      <c r="A969" s="3"/>
      <c r="B969" s="11"/>
      <c r="C969" s="3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 customHeight="1" x14ac:dyDescent="0.15">
      <c r="A970" s="3"/>
      <c r="B970" s="11"/>
      <c r="C970" s="3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 customHeight="1" x14ac:dyDescent="0.15">
      <c r="A971" s="3"/>
      <c r="B971" s="11"/>
      <c r="C971" s="3"/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 customHeight="1" x14ac:dyDescent="0.15">
      <c r="A972" s="3"/>
      <c r="B972" s="11"/>
      <c r="C972" s="3"/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 customHeight="1" x14ac:dyDescent="0.15">
      <c r="A973" s="3"/>
      <c r="B973" s="11"/>
      <c r="C973" s="3"/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 customHeight="1" x14ac:dyDescent="0.15">
      <c r="A974" s="3"/>
      <c r="B974" s="11"/>
      <c r="C974" s="3"/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 customHeight="1" x14ac:dyDescent="0.15">
      <c r="A975" s="3"/>
      <c r="B975" s="11"/>
      <c r="C975" s="3"/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 customHeight="1" x14ac:dyDescent="0.15">
      <c r="A976" s="3"/>
      <c r="B976" s="11"/>
      <c r="C976" s="3"/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 customHeight="1" x14ac:dyDescent="0.15">
      <c r="A977" s="3"/>
      <c r="B977" s="11"/>
      <c r="C977" s="3"/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 customHeight="1" x14ac:dyDescent="0.15">
      <c r="A978" s="3"/>
      <c r="B978" s="11"/>
      <c r="C978" s="3"/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 customHeight="1" x14ac:dyDescent="0.15">
      <c r="A979" s="3"/>
      <c r="B979" s="11"/>
      <c r="C979" s="3"/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 customHeight="1" x14ac:dyDescent="0.15">
      <c r="A980" s="3"/>
      <c r="B980" s="11"/>
      <c r="C980" s="3"/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 customHeight="1" x14ac:dyDescent="0.15">
      <c r="A981" s="3"/>
      <c r="B981" s="11"/>
      <c r="C981" s="3"/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 customHeight="1" x14ac:dyDescent="0.15">
      <c r="A982" s="3"/>
      <c r="B982" s="11"/>
      <c r="C982" s="3"/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 customHeight="1" x14ac:dyDescent="0.15">
      <c r="A983" s="3"/>
      <c r="B983" s="11"/>
      <c r="C983" s="3"/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 customHeight="1" x14ac:dyDescent="0.15">
      <c r="A984" s="3"/>
      <c r="B984" s="11"/>
      <c r="C984" s="3"/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 customHeight="1" x14ac:dyDescent="0.15">
      <c r="A985" s="3"/>
      <c r="B985" s="11"/>
      <c r="C985" s="3"/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 customHeight="1" x14ac:dyDescent="0.15">
      <c r="A986" s="3"/>
      <c r="B986" s="11"/>
      <c r="C986" s="3"/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 customHeight="1" x14ac:dyDescent="0.15">
      <c r="A987" s="3"/>
      <c r="B987" s="11"/>
      <c r="C987" s="3"/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 customHeight="1" x14ac:dyDescent="0.15">
      <c r="A988" s="3"/>
      <c r="B988" s="11"/>
      <c r="C988" s="3"/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 customHeight="1" x14ac:dyDescent="0.15">
      <c r="A989" s="3"/>
      <c r="B989" s="11"/>
      <c r="C989" s="3"/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 customHeight="1" x14ac:dyDescent="0.15">
      <c r="A990" s="3"/>
      <c r="B990" s="11"/>
      <c r="C990" s="3"/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 customHeight="1" x14ac:dyDescent="0.15">
      <c r="A991" s="3"/>
      <c r="B991" s="11"/>
      <c r="C991" s="3"/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 customHeight="1" x14ac:dyDescent="0.15">
      <c r="A992" s="3"/>
      <c r="B992" s="11"/>
      <c r="C992" s="3"/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 customHeight="1" x14ac:dyDescent="0.15">
      <c r="A993" s="3"/>
      <c r="B993" s="11"/>
      <c r="C993" s="3"/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 customHeight="1" x14ac:dyDescent="0.15">
      <c r="A994" s="3"/>
      <c r="B994" s="11"/>
      <c r="C994" s="3"/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5" customHeight="1" x14ac:dyDescent="0.15">
      <c r="A995" s="3"/>
      <c r="B995" s="11"/>
      <c r="C995" s="3"/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5" customHeight="1" x14ac:dyDescent="0.15">
      <c r="A996" s="3"/>
      <c r="B996" s="11"/>
      <c r="C996" s="3"/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5" customHeight="1" x14ac:dyDescent="0.15">
      <c r="A997" s="3"/>
      <c r="B997" s="11"/>
      <c r="C997" s="3"/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5" customHeight="1" x14ac:dyDescent="0.15">
      <c r="A998" s="3"/>
      <c r="B998" s="11"/>
      <c r="C998" s="3"/>
      <c r="D998" s="4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5" customHeight="1" x14ac:dyDescent="0.15">
      <c r="A999" s="3"/>
      <c r="B999" s="11"/>
      <c r="C999" s="3"/>
      <c r="D999" s="4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5" customHeight="1" x14ac:dyDescent="0.15">
      <c r="A1000" s="3"/>
      <c r="B1000" s="11"/>
      <c r="C1000" s="3"/>
      <c r="D1000" s="4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8">
    <mergeCell ref="B47:D47"/>
    <mergeCell ref="B48:D48"/>
    <mergeCell ref="A6:B6"/>
    <mergeCell ref="C6:E6"/>
    <mergeCell ref="F6:K6"/>
    <mergeCell ref="A7:B7"/>
    <mergeCell ref="C7:E7"/>
    <mergeCell ref="F7:K7"/>
    <mergeCell ref="O6:T6"/>
    <mergeCell ref="O7:T7"/>
    <mergeCell ref="D20:E20"/>
    <mergeCell ref="B45:D45"/>
    <mergeCell ref="B46:D46"/>
    <mergeCell ref="L6:N6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C3:E3"/>
    <mergeCell ref="F3:K3"/>
    <mergeCell ref="L3:N3"/>
    <mergeCell ref="A3:B3"/>
  </mergeCells>
  <dataValidations count="3">
    <dataValidation type="list" allowBlank="1" showInputMessage="1" showErrorMessage="1" prompt=" - " sqref="F10:T44" xr:uid="{00000000-0002-0000-0700-000000000000}">
      <formula1>"O"</formula1>
    </dataValidation>
    <dataValidation type="list" allowBlank="1" showInputMessage="1" showErrorMessage="1" prompt=" - " sqref="F45:T45" xr:uid="{00000000-0002-0000-0700-000001000000}">
      <formula1>"N,A,B"</formula1>
    </dataValidation>
    <dataValidation type="list" allowBlank="1" showInputMessage="1" showErrorMessage="1" prompt=" - " sqref="F46:T46" xr:uid="{00000000-0002-0000-0700-000002000000}">
      <formula1>"P,F"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Function 1</vt:lpstr>
      <vt:lpstr>Function 2</vt:lpstr>
      <vt:lpstr>Function3</vt:lpstr>
      <vt:lpstr>Example</vt:lpstr>
      <vt:lpstr>'Function 1'!Z_2C0D9096_8D85_462A_A9B5_0B488ADB4269_.wvu.Cols</vt:lpstr>
      <vt:lpstr>'Function 2'!Z_2C0D9096_8D85_462A_A9B5_0B488ADB4269_.wvu.Cols</vt:lpstr>
      <vt:lpstr>Function3!Z_2C0D9096_8D85_462A_A9B5_0B488ADB4269_.wvu.Cols</vt:lpstr>
      <vt:lpstr>'Function 1'!Z_6F1DCD5D_5DAC_4817_BF40_2B66F6F593E6_.wvu.Cols</vt:lpstr>
      <vt:lpstr>'Function 2'!Z_6F1DCD5D_5DAC_4817_BF40_2B66F6F593E6_.wvu.Cols</vt:lpstr>
      <vt:lpstr>Function3!Z_6F1DCD5D_5DAC_4817_BF40_2B66F6F593E6_.wvu.Cols</vt:lpstr>
      <vt:lpstr>'Function 1'!Z_BE54E0AD_3725_4423_92D7_4F1C045BE1BC_.wvu.Cols</vt:lpstr>
      <vt:lpstr>'Function 2'!Z_BE54E0AD_3725_4423_92D7_4F1C045BE1BC_.wvu.Cols</vt:lpstr>
      <vt:lpstr>Function3!Z_BE54E0AD_3725_4423_92D7_4F1C045BE1BC_.wvu.Cols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Thành Luân Nguyễn</cp:lastModifiedBy>
  <dcterms:modified xsi:type="dcterms:W3CDTF">2025-12-13T08:34:31Z</dcterms:modified>
</cp:coreProperties>
</file>